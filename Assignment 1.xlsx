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helor of Business Analytics\BUSA 3015\Assignment\"/>
    </mc:Choice>
  </mc:AlternateContent>
  <xr:revisionPtr revIDLastSave="0" documentId="13_ncr:1_{BDA7B792-06C9-400E-A393-ED68D9F0F2EE}" xr6:coauthVersionLast="47" xr6:coauthVersionMax="47" xr10:uidLastSave="{00000000-0000-0000-0000-000000000000}"/>
  <bookViews>
    <workbookView xWindow="-110" yWindow="-110" windowWidth="25820" windowHeight="15500" activeTab="2" xr2:uid="{6B9CDC88-F282-4EE8-8502-AD4F4BCC7ED7}"/>
  </bookViews>
  <sheets>
    <sheet name="HES" sheetId="1" r:id="rId1"/>
    <sheet name="WES" sheetId="2" r:id="rId2"/>
    <sheet name="Sheet3" sheetId="3" r:id="rId3"/>
  </sheets>
  <definedNames>
    <definedName name="solver_adj" localSheetId="0" hidden="1">HES!$I$1:$I$2</definedName>
    <definedName name="solver_adj" localSheetId="2" hidden="1">Sheet3!$N$1:$N$2</definedName>
    <definedName name="solver_adj" localSheetId="1" hidden="1">WES!$P$1:$P$4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0" hidden="1">1</definedName>
    <definedName name="solver_drv" localSheetId="2" hidden="1">1</definedName>
    <definedName name="solver_drv" localSheetId="1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0" hidden="1">HES!$I$1:$I$2</definedName>
    <definedName name="solver_lhs1" localSheetId="2" hidden="1">Sheet3!$N$1:$N$2</definedName>
    <definedName name="solver_lhs1" localSheetId="1" hidden="1">WES!$P$1:$P$4</definedName>
    <definedName name="solver_lhs2" localSheetId="0" hidden="1">HES!$I$1:$I$2</definedName>
    <definedName name="solver_lhs2" localSheetId="2" hidden="1">Sheet3!$N$1:$N$2</definedName>
    <definedName name="solver_lhs2" localSheetId="1" hidden="1">WES!$P$1:$P$4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0" hidden="1">2</definedName>
    <definedName name="solver_num" localSheetId="2" hidden="1">2</definedName>
    <definedName name="solver_num" localSheetId="1" hidden="1">0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0" hidden="1">HES!$I$29</definedName>
    <definedName name="solver_opt" localSheetId="2" hidden="1">Sheet3!$G$43</definedName>
    <definedName name="solver_opt" localSheetId="1" hidden="1">WES!$K$41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0" hidden="1">1</definedName>
    <definedName name="solver_rbv" localSheetId="2" hidden="1">1</definedName>
    <definedName name="solver_rbv" localSheetId="1" hidden="1">1</definedName>
    <definedName name="solver_rel1" localSheetId="0" hidden="1">1</definedName>
    <definedName name="solver_rel1" localSheetId="2" hidden="1">1</definedName>
    <definedName name="solver_rel1" localSheetId="1" hidden="1">1</definedName>
    <definedName name="solver_rel2" localSheetId="0" hidden="1">3</definedName>
    <definedName name="solver_rel2" localSheetId="2" hidden="1">3</definedName>
    <definedName name="solver_rel2" localSheetId="1" hidden="1">3</definedName>
    <definedName name="solver_rhs1" localSheetId="0" hidden="1">1</definedName>
    <definedName name="solver_rhs1" localSheetId="2" hidden="1">1</definedName>
    <definedName name="solver_rhs1" localSheetId="1" hidden="1">1</definedName>
    <definedName name="solver_rhs2" localSheetId="0" hidden="1">0</definedName>
    <definedName name="solver_rhs2" localSheetId="2" hidden="1">0</definedName>
    <definedName name="solver_rhs2" localSheetId="1" hidden="1">0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0" hidden="1">1</definedName>
    <definedName name="solver_scl" localSheetId="2" hidden="1">1</definedName>
    <definedName name="solver_scl" localSheetId="1" hidden="1">1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0" hidden="1">2</definedName>
    <definedName name="solver_typ" localSheetId="2" hidden="1">2</definedName>
    <definedName name="solver_typ" localSheetId="1" hidden="1">2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F3" i="3"/>
  <c r="E3" i="3"/>
  <c r="C3" i="3"/>
  <c r="D2" i="3"/>
  <c r="C2" i="3"/>
  <c r="D3" i="3" l="1"/>
  <c r="C4" i="3" s="1"/>
  <c r="E4" i="3" l="1"/>
  <c r="F4" i="3" s="1"/>
  <c r="G4" i="3" s="1"/>
  <c r="D4" i="3"/>
  <c r="C5" i="3" s="1"/>
  <c r="E5" i="3" l="1"/>
  <c r="F5" i="3" s="1"/>
  <c r="G5" i="3" s="1"/>
  <c r="D5" i="3"/>
  <c r="E6" i="3" s="1"/>
  <c r="F6" i="3" s="1"/>
  <c r="G6" i="3" l="1"/>
  <c r="C6" i="3"/>
  <c r="D6" i="3" l="1"/>
  <c r="C7" i="3" s="1"/>
  <c r="D7" i="3" l="1"/>
  <c r="C8" i="3" s="1"/>
  <c r="E7" i="3"/>
  <c r="F7" i="3" s="1"/>
  <c r="G7" i="3" l="1"/>
  <c r="D8" i="3"/>
  <c r="C9" i="3" s="1"/>
  <c r="E8" i="3"/>
  <c r="F8" i="3" s="1"/>
  <c r="G8" i="3" s="1"/>
  <c r="D9" i="3" l="1"/>
  <c r="C10" i="3" s="1"/>
  <c r="E9" i="3"/>
  <c r="F9" i="3" s="1"/>
  <c r="G9" i="3" s="1"/>
  <c r="D10" i="3" l="1"/>
  <c r="C11" i="3" s="1"/>
  <c r="E10" i="3"/>
  <c r="F10" i="3" s="1"/>
  <c r="G10" i="3" s="1"/>
  <c r="D11" i="3" l="1"/>
  <c r="C12" i="3" s="1"/>
  <c r="E11" i="3"/>
  <c r="F11" i="3" s="1"/>
  <c r="G11" i="3" s="1"/>
  <c r="D12" i="3" l="1"/>
  <c r="C13" i="3" s="1"/>
  <c r="E12" i="3"/>
  <c r="F12" i="3" s="1"/>
  <c r="G12" i="3" s="1"/>
  <c r="D13" i="3" l="1"/>
  <c r="C14" i="3" s="1"/>
  <c r="E13" i="3"/>
  <c r="F13" i="3" s="1"/>
  <c r="G13" i="3" s="1"/>
  <c r="D14" i="3" l="1"/>
  <c r="C15" i="3" s="1"/>
  <c r="E14" i="3"/>
  <c r="F14" i="3" s="1"/>
  <c r="G14" i="3" s="1"/>
  <c r="D15" i="3" l="1"/>
  <c r="C16" i="3" s="1"/>
  <c r="E15" i="3"/>
  <c r="F15" i="3" s="1"/>
  <c r="G15" i="3" s="1"/>
  <c r="E16" i="3" l="1"/>
  <c r="F16" i="3" s="1"/>
  <c r="G16" i="3" s="1"/>
  <c r="D16" i="3"/>
  <c r="C17" i="3" s="1"/>
  <c r="D17" i="3" l="1"/>
  <c r="E18" i="3" s="1"/>
  <c r="F18" i="3" s="1"/>
  <c r="G18" i="3" s="1"/>
  <c r="E17" i="3"/>
  <c r="F17" i="3" s="1"/>
  <c r="G17" i="3" s="1"/>
  <c r="C18" i="3" l="1"/>
  <c r="D18" i="3" l="1"/>
  <c r="C19" i="3" s="1"/>
  <c r="D19" i="3" l="1"/>
  <c r="C20" i="3" s="1"/>
  <c r="E19" i="3"/>
  <c r="F19" i="3" s="1"/>
  <c r="G19" i="3" s="1"/>
  <c r="D20" i="3" l="1"/>
  <c r="C21" i="3" s="1"/>
  <c r="E20" i="3"/>
  <c r="F20" i="3" s="1"/>
  <c r="G20" i="3" s="1"/>
  <c r="D21" i="3" l="1"/>
  <c r="C22" i="3" s="1"/>
  <c r="E21" i="3"/>
  <c r="F21" i="3" s="1"/>
  <c r="G21" i="3" s="1"/>
  <c r="E22" i="3" l="1"/>
  <c r="F22" i="3" s="1"/>
  <c r="G22" i="3" s="1"/>
  <c r="D22" i="3"/>
  <c r="C23" i="3" s="1"/>
  <c r="E23" i="3" l="1"/>
  <c r="F23" i="3" s="1"/>
  <c r="G23" i="3" s="1"/>
  <c r="D23" i="3"/>
  <c r="E24" i="3" s="1"/>
  <c r="F24" i="3" s="1"/>
  <c r="G24" i="3" s="1"/>
  <c r="C24" i="3" l="1"/>
  <c r="D24" i="3" s="1"/>
  <c r="C25" i="3" s="1"/>
  <c r="D25" i="3" l="1"/>
  <c r="C26" i="3" s="1"/>
  <c r="E25" i="3"/>
  <c r="F25" i="3" s="1"/>
  <c r="G25" i="3" s="1"/>
  <c r="E26" i="3" l="1"/>
  <c r="F26" i="3" s="1"/>
  <c r="G26" i="3" s="1"/>
  <c r="D26" i="3"/>
  <c r="C27" i="3" s="1"/>
  <c r="E27" i="3" l="1"/>
  <c r="F27" i="3" s="1"/>
  <c r="G27" i="3" s="1"/>
  <c r="D27" i="3"/>
  <c r="C28" i="3" s="1"/>
  <c r="D28" i="3" l="1"/>
  <c r="C29" i="3" s="1"/>
  <c r="E28" i="3"/>
  <c r="F28" i="3" s="1"/>
  <c r="G28" i="3" s="1"/>
  <c r="E29" i="3" l="1"/>
  <c r="F29" i="3" s="1"/>
  <c r="G29" i="3" s="1"/>
  <c r="D29" i="3"/>
  <c r="E30" i="3" s="1"/>
  <c r="F30" i="3" s="1"/>
  <c r="G30" i="3" s="1"/>
  <c r="C30" i="3" l="1"/>
  <c r="D30" i="3" l="1"/>
  <c r="C31" i="3" s="1"/>
  <c r="E31" i="3" l="1"/>
  <c r="F31" i="3" s="1"/>
  <c r="G31" i="3" s="1"/>
  <c r="D31" i="3"/>
  <c r="C32" i="3" s="1"/>
  <c r="E32" i="3" l="1"/>
  <c r="F32" i="3" s="1"/>
  <c r="G32" i="3" s="1"/>
  <c r="D32" i="3"/>
  <c r="C33" i="3" s="1"/>
  <c r="E33" i="3" l="1"/>
  <c r="F33" i="3" s="1"/>
  <c r="G33" i="3" s="1"/>
  <c r="D33" i="3"/>
  <c r="C34" i="3" s="1"/>
  <c r="E34" i="3" l="1"/>
  <c r="F34" i="3" s="1"/>
  <c r="G34" i="3" s="1"/>
  <c r="D34" i="3"/>
  <c r="C35" i="3" s="1"/>
  <c r="D35" i="3" l="1"/>
  <c r="C36" i="3" s="1"/>
  <c r="E35" i="3"/>
  <c r="F35" i="3" s="1"/>
  <c r="G35" i="3" s="1"/>
  <c r="E36" i="3" l="1"/>
  <c r="F36" i="3" s="1"/>
  <c r="G36" i="3" s="1"/>
  <c r="D36" i="3"/>
  <c r="C37" i="3" s="1"/>
  <c r="D37" i="3" s="1"/>
  <c r="E37" i="3" l="1"/>
  <c r="F37" i="3" s="1"/>
  <c r="G37" i="3" s="1"/>
  <c r="G43" i="3" s="1"/>
  <c r="F43" i="3" l="1"/>
  <c r="X7" i="2" l="1"/>
  <c r="Y7" i="2" s="1"/>
  <c r="X8" i="2"/>
  <c r="Y8" i="2" s="1"/>
  <c r="X9" i="2"/>
  <c r="Y9" i="2" s="1"/>
  <c r="X10" i="2"/>
  <c r="Y10" i="2" s="1"/>
  <c r="X11" i="2"/>
  <c r="Y11" i="2" s="1"/>
  <c r="X12" i="2"/>
  <c r="Y12" i="2" s="1"/>
  <c r="X13" i="2"/>
  <c r="Y13" i="2" s="1"/>
  <c r="X14" i="2"/>
  <c r="Y14" i="2" s="1"/>
  <c r="X15" i="2"/>
  <c r="Y15" i="2" s="1"/>
  <c r="X16" i="2"/>
  <c r="Y16" i="2" s="1"/>
  <c r="X17" i="2"/>
  <c r="Y17" i="2" s="1"/>
  <c r="X6" i="2"/>
  <c r="Y6" i="2" s="1"/>
  <c r="C14" i="2"/>
  <c r="E3" i="2" s="1"/>
  <c r="Y19" i="2" l="1"/>
  <c r="D14" i="2" s="1"/>
  <c r="F15" i="2" s="1"/>
  <c r="J15" i="2" s="1"/>
  <c r="E12" i="2"/>
  <c r="E14" i="2"/>
  <c r="E11" i="2"/>
  <c r="E10" i="2"/>
  <c r="E9" i="2"/>
  <c r="E8" i="2"/>
  <c r="E7" i="2"/>
  <c r="E6" i="2"/>
  <c r="E5" i="2"/>
  <c r="E4" i="2"/>
  <c r="E13" i="2"/>
  <c r="C15" i="2" l="1"/>
  <c r="L15" i="2"/>
  <c r="K15" i="2"/>
  <c r="E15" i="2" l="1"/>
  <c r="D15" i="2"/>
  <c r="F16" i="2" s="1"/>
  <c r="J16" i="2" s="1"/>
  <c r="L16" i="2" s="1"/>
  <c r="C16" i="2" l="1"/>
  <c r="E16" i="2" s="1"/>
  <c r="K16" i="2"/>
  <c r="D16" i="2" l="1"/>
  <c r="C17" i="2" s="1"/>
  <c r="D17" i="2" s="1"/>
  <c r="F18" i="2" s="1"/>
  <c r="J18" i="2" s="1"/>
  <c r="E17" i="2" l="1"/>
  <c r="F17" i="2"/>
  <c r="J17" i="2" s="1"/>
  <c r="K17" i="2" s="1"/>
  <c r="L18" i="2"/>
  <c r="K18" i="2"/>
  <c r="C18" i="2"/>
  <c r="L17" i="2" l="1"/>
  <c r="E18" i="2"/>
  <c r="D18" i="2"/>
  <c r="C19" i="2" s="1"/>
  <c r="D19" i="2" l="1"/>
  <c r="C20" i="2" s="1"/>
  <c r="E19" i="2"/>
  <c r="F19" i="2"/>
  <c r="J19" i="2" s="1"/>
  <c r="F20" i="2" l="1"/>
  <c r="J20" i="2" s="1"/>
  <c r="K20" i="2" s="1"/>
  <c r="K19" i="2"/>
  <c r="L19" i="2"/>
  <c r="E20" i="2"/>
  <c r="D20" i="2"/>
  <c r="F21" i="2" s="1"/>
  <c r="J21" i="2" s="1"/>
  <c r="L20" i="2" l="1"/>
  <c r="C21" i="2"/>
  <c r="D21" i="2" s="1"/>
  <c r="C22" i="2" s="1"/>
  <c r="K21" i="2"/>
  <c r="L21" i="2"/>
  <c r="F22" i="2" l="1"/>
  <c r="J22" i="2" s="1"/>
  <c r="E21" i="2"/>
  <c r="D22" i="2"/>
  <c r="F23" i="2" s="1"/>
  <c r="J23" i="2" s="1"/>
  <c r="E22" i="2"/>
  <c r="C23" i="2" l="1"/>
  <c r="D23" i="2" s="1"/>
  <c r="F24" i="2" s="1"/>
  <c r="J24" i="2" s="1"/>
  <c r="L23" i="2"/>
  <c r="K23" i="2"/>
  <c r="K22" i="2"/>
  <c r="L22" i="2"/>
  <c r="E23" i="2" l="1"/>
  <c r="K24" i="2"/>
  <c r="L24" i="2"/>
  <c r="C24" i="2"/>
  <c r="D24" i="2" l="1"/>
  <c r="F25" i="2" s="1"/>
  <c r="J25" i="2" s="1"/>
  <c r="E24" i="2"/>
  <c r="C25" i="2" l="1"/>
  <c r="E25" i="2" s="1"/>
  <c r="K25" i="2"/>
  <c r="L25" i="2"/>
  <c r="D25" i="2" l="1"/>
  <c r="F26" i="2" s="1"/>
  <c r="J26" i="2" s="1"/>
  <c r="C26" i="2" l="1"/>
  <c r="D26" i="2" s="1"/>
  <c r="K26" i="2"/>
  <c r="L26" i="2"/>
  <c r="E26" i="2" l="1"/>
  <c r="F27" i="2"/>
  <c r="J27" i="2" s="1"/>
  <c r="L27" i="2" s="1"/>
  <c r="C27" i="2"/>
  <c r="D27" i="2" s="1"/>
  <c r="C28" i="2" s="1"/>
  <c r="E27" i="2" l="1"/>
  <c r="K27" i="2"/>
  <c r="D28" i="2"/>
  <c r="C29" i="2" s="1"/>
  <c r="E28" i="2"/>
  <c r="F28" i="2"/>
  <c r="J28" i="2" s="1"/>
  <c r="D2" i="1"/>
  <c r="C2" i="1"/>
  <c r="C3" i="1" s="1"/>
  <c r="F29" i="2" l="1"/>
  <c r="J29" i="2" s="1"/>
  <c r="L29" i="2" s="1"/>
  <c r="K28" i="2"/>
  <c r="L28" i="2"/>
  <c r="D29" i="2"/>
  <c r="C30" i="2" s="1"/>
  <c r="E29" i="2"/>
  <c r="D3" i="1"/>
  <c r="E4" i="1" s="1"/>
  <c r="F4" i="1" s="1"/>
  <c r="G4" i="1" s="1"/>
  <c r="E3" i="1"/>
  <c r="F3" i="1" s="1"/>
  <c r="K29" i="2" l="1"/>
  <c r="E30" i="2"/>
  <c r="D30" i="2"/>
  <c r="C31" i="2" s="1"/>
  <c r="F30" i="2"/>
  <c r="J30" i="2" s="1"/>
  <c r="C4" i="1"/>
  <c r="D4" i="1" s="1"/>
  <c r="E5" i="1" s="1"/>
  <c r="F5" i="1" s="1"/>
  <c r="G3" i="1"/>
  <c r="F31" i="2" l="1"/>
  <c r="J31" i="2" s="1"/>
  <c r="L31" i="2" s="1"/>
  <c r="K30" i="2"/>
  <c r="L30" i="2"/>
  <c r="D31" i="2"/>
  <c r="F32" i="2" s="1"/>
  <c r="J32" i="2" s="1"/>
  <c r="E31" i="2"/>
  <c r="G5" i="1"/>
  <c r="C5" i="1"/>
  <c r="C32" i="2" l="1"/>
  <c r="D32" i="2" s="1"/>
  <c r="F33" i="2" s="1"/>
  <c r="J33" i="2" s="1"/>
  <c r="K31" i="2"/>
  <c r="K32" i="2"/>
  <c r="L32" i="2"/>
  <c r="D5" i="1"/>
  <c r="E6" i="1" s="1"/>
  <c r="F6" i="1" s="1"/>
  <c r="C6" i="1"/>
  <c r="E32" i="2" l="1"/>
  <c r="C33" i="2"/>
  <c r="D33" i="2" s="1"/>
  <c r="C34" i="2" s="1"/>
  <c r="L33" i="2"/>
  <c r="K33" i="2"/>
  <c r="D6" i="1"/>
  <c r="C7" i="1" s="1"/>
  <c r="G6" i="1"/>
  <c r="E33" i="2" l="1"/>
  <c r="D34" i="2"/>
  <c r="F35" i="2" s="1"/>
  <c r="J35" i="2" s="1"/>
  <c r="E34" i="2"/>
  <c r="F34" i="2"/>
  <c r="J34" i="2" s="1"/>
  <c r="D7" i="1"/>
  <c r="C8" i="1" s="1"/>
  <c r="E7" i="1"/>
  <c r="F7" i="1" s="1"/>
  <c r="C35" i="2" l="1"/>
  <c r="E35" i="2" s="1"/>
  <c r="L34" i="2"/>
  <c r="K34" i="2"/>
  <c r="L35" i="2"/>
  <c r="K35" i="2"/>
  <c r="E8" i="1"/>
  <c r="F8" i="1" s="1"/>
  <c r="G8" i="1" s="1"/>
  <c r="G7" i="1"/>
  <c r="D8" i="1"/>
  <c r="E9" i="1" s="1"/>
  <c r="F9" i="1" s="1"/>
  <c r="D35" i="2" l="1"/>
  <c r="F36" i="2" s="1"/>
  <c r="J36" i="2" s="1"/>
  <c r="K36" i="2" s="1"/>
  <c r="C9" i="1"/>
  <c r="G9" i="1"/>
  <c r="D9" i="1"/>
  <c r="C10" i="1" s="1"/>
  <c r="L36" i="2" l="1"/>
  <c r="C36" i="2"/>
  <c r="D36" i="2" s="1"/>
  <c r="F37" i="2" s="1"/>
  <c r="J37" i="2" s="1"/>
  <c r="L37" i="2" s="1"/>
  <c r="E10" i="1"/>
  <c r="F10" i="1" s="1"/>
  <c r="G10" i="1" s="1"/>
  <c r="D10" i="1"/>
  <c r="E11" i="1" s="1"/>
  <c r="F11" i="1" s="1"/>
  <c r="G11" i="1" s="1"/>
  <c r="E36" i="2" l="1"/>
  <c r="K37" i="2"/>
  <c r="N38" i="2" s="1"/>
  <c r="C37" i="2"/>
  <c r="D37" i="2" s="1"/>
  <c r="C38" i="2" s="1"/>
  <c r="C11" i="1"/>
  <c r="D38" i="2" l="1"/>
  <c r="N48" i="2" s="1"/>
  <c r="E37" i="2"/>
  <c r="F38" i="2"/>
  <c r="J38" i="2" s="1"/>
  <c r="L38" i="2" s="1"/>
  <c r="L41" i="2" s="1"/>
  <c r="E38" i="2"/>
  <c r="D11" i="1"/>
  <c r="C12" i="1" s="1"/>
  <c r="N49" i="2" l="1"/>
  <c r="N44" i="2"/>
  <c r="N39" i="2"/>
  <c r="N40" i="2"/>
  <c r="N41" i="2"/>
  <c r="N42" i="2"/>
  <c r="N43" i="2"/>
  <c r="N45" i="2"/>
  <c r="N46" i="2"/>
  <c r="N47" i="2"/>
  <c r="K38" i="2"/>
  <c r="K41" i="2" s="1"/>
  <c r="J41" i="2"/>
  <c r="D12" i="1"/>
  <c r="E13" i="1" s="1"/>
  <c r="F13" i="1" s="1"/>
  <c r="G13" i="1" s="1"/>
  <c r="E12" i="1"/>
  <c r="F12" i="1" s="1"/>
  <c r="G12" i="1" s="1"/>
  <c r="C13" i="1" l="1"/>
  <c r="D13" i="1"/>
  <c r="C14" i="1" s="1"/>
  <c r="D14" i="1" l="1"/>
  <c r="C15" i="1" s="1"/>
  <c r="E14" i="1"/>
  <c r="F14" i="1" s="1"/>
  <c r="G14" i="1" s="1"/>
  <c r="D15" i="1" l="1"/>
  <c r="C16" i="1" s="1"/>
  <c r="E15" i="1"/>
  <c r="F15" i="1" s="1"/>
  <c r="G15" i="1" s="1"/>
  <c r="D16" i="1" l="1"/>
  <c r="E17" i="1" s="1"/>
  <c r="F17" i="1" s="1"/>
  <c r="G17" i="1" s="1"/>
  <c r="E16" i="1"/>
  <c r="F16" i="1" s="1"/>
  <c r="G16" i="1" s="1"/>
  <c r="C17" i="1" l="1"/>
  <c r="D17" i="1" l="1"/>
  <c r="C18" i="1" s="1"/>
  <c r="D18" i="1" l="1"/>
  <c r="C19" i="1" s="1"/>
  <c r="E18" i="1"/>
  <c r="F18" i="1" s="1"/>
  <c r="G18" i="1" s="1"/>
  <c r="E19" i="1" l="1"/>
  <c r="F19" i="1" s="1"/>
  <c r="G19" i="1" s="1"/>
  <c r="D19" i="1"/>
  <c r="C20" i="1" s="1"/>
  <c r="D20" i="1" l="1"/>
  <c r="C21" i="1" s="1"/>
  <c r="E20" i="1"/>
  <c r="F20" i="1" s="1"/>
  <c r="G20" i="1" s="1"/>
  <c r="D21" i="1" l="1"/>
  <c r="C22" i="1" s="1"/>
  <c r="E21" i="1"/>
  <c r="F21" i="1" s="1"/>
  <c r="G21" i="1" s="1"/>
  <c r="D22" i="1" l="1"/>
  <c r="E23" i="1" s="1"/>
  <c r="F23" i="1" s="1"/>
  <c r="G23" i="1" s="1"/>
  <c r="E22" i="1"/>
  <c r="F22" i="1" s="1"/>
  <c r="G22" i="1" s="1"/>
  <c r="C23" i="1" l="1"/>
  <c r="D23" i="1" l="1"/>
  <c r="C24" i="1" s="1"/>
  <c r="D24" i="1" l="1"/>
  <c r="C25" i="1" s="1"/>
  <c r="E24" i="1"/>
  <c r="F24" i="1" s="1"/>
  <c r="G24" i="1" s="1"/>
  <c r="E25" i="1" l="1"/>
  <c r="F25" i="1" s="1"/>
  <c r="G25" i="1" s="1"/>
  <c r="D25" i="1"/>
  <c r="C26" i="1" s="1"/>
  <c r="E26" i="1" l="1"/>
  <c r="F26" i="1" s="1"/>
  <c r="G26" i="1" s="1"/>
  <c r="D26" i="1"/>
  <c r="E27" i="1" s="1"/>
  <c r="F27" i="1" s="1"/>
  <c r="G27" i="1" s="1"/>
  <c r="C27" i="1" l="1"/>
  <c r="D27" i="1" l="1"/>
  <c r="C28" i="1" s="1"/>
  <c r="D28" i="1" l="1"/>
  <c r="C29" i="1" s="1"/>
  <c r="E28" i="1"/>
  <c r="F28" i="1" s="1"/>
  <c r="G28" i="1" s="1"/>
  <c r="D29" i="1" l="1"/>
  <c r="C30" i="1" s="1"/>
  <c r="E29" i="1"/>
  <c r="F29" i="1" s="1"/>
  <c r="G29" i="1" s="1"/>
  <c r="D30" i="1" l="1"/>
  <c r="C31" i="1" s="1"/>
  <c r="E30" i="1"/>
  <c r="F30" i="1" s="1"/>
  <c r="G30" i="1" s="1"/>
  <c r="D31" i="1" l="1"/>
  <c r="C32" i="1" s="1"/>
  <c r="E31" i="1"/>
  <c r="F31" i="1" s="1"/>
  <c r="G31" i="1" s="1"/>
  <c r="D32" i="1" l="1"/>
  <c r="E33" i="1" s="1"/>
  <c r="F33" i="1" s="1"/>
  <c r="G33" i="1" s="1"/>
  <c r="E32" i="1"/>
  <c r="F32" i="1" s="1"/>
  <c r="G32" i="1" s="1"/>
  <c r="C33" i="1" l="1"/>
  <c r="D33" i="1" l="1"/>
  <c r="C34" i="1" s="1"/>
  <c r="D34" i="1" l="1"/>
  <c r="C35" i="1" s="1"/>
  <c r="E34" i="1"/>
  <c r="F34" i="1" s="1"/>
  <c r="G34" i="1" s="1"/>
  <c r="D35" i="1" l="1"/>
  <c r="C36" i="1" s="1"/>
  <c r="E35" i="1"/>
  <c r="F35" i="1" s="1"/>
  <c r="G35" i="1" s="1"/>
  <c r="D36" i="1" l="1"/>
  <c r="E37" i="1" s="1"/>
  <c r="F37" i="1" s="1"/>
  <c r="E36" i="1"/>
  <c r="F36" i="1" s="1"/>
  <c r="G36" i="1" s="1"/>
  <c r="G37" i="1" l="1"/>
  <c r="I29" i="1" s="1"/>
  <c r="H29" i="1"/>
  <c r="C37" i="1"/>
  <c r="D37" i="1" s="1"/>
  <c r="E41" i="1" s="1"/>
  <c r="E44" i="1" l="1"/>
  <c r="E45" i="1"/>
  <c r="E39" i="1"/>
  <c r="E42" i="1"/>
  <c r="E38" i="1"/>
  <c r="E43" i="1"/>
  <c r="E49" i="1"/>
  <c r="E47" i="1"/>
  <c r="E48" i="1"/>
  <c r="E46" i="1"/>
  <c r="E40" i="1"/>
</calcChain>
</file>

<file path=xl/sharedStrings.xml><?xml version="1.0" encoding="utf-8"?>
<sst xmlns="http://schemas.openxmlformats.org/spreadsheetml/2006/main" count="64" uniqueCount="40">
  <si>
    <t>Date</t>
  </si>
  <si>
    <t xml:space="preserve">Original ($m) </t>
  </si>
  <si>
    <t>Seasonally adjusted ($m)</t>
  </si>
  <si>
    <t xml:space="preserve"> Level (L)</t>
  </si>
  <si>
    <t>Trend (T)</t>
  </si>
  <si>
    <t>Alpha</t>
  </si>
  <si>
    <t>Beta</t>
  </si>
  <si>
    <t>Forecast (F)</t>
  </si>
  <si>
    <t>Absolute error</t>
  </si>
  <si>
    <t>Squared Error</t>
  </si>
  <si>
    <t>MAE</t>
  </si>
  <si>
    <t>MSE</t>
  </si>
  <si>
    <t>Level (L)</t>
  </si>
  <si>
    <t>Seasonal (s)</t>
  </si>
  <si>
    <t>Gamma</t>
  </si>
  <si>
    <t>Year 1</t>
  </si>
  <si>
    <t>Year 2</t>
  </si>
  <si>
    <t>y2-y1</t>
  </si>
  <si>
    <t>(y2-y1)/12</t>
  </si>
  <si>
    <t>Error</t>
  </si>
  <si>
    <t>MAPE</t>
  </si>
  <si>
    <t>Forecast (within sample)</t>
  </si>
  <si>
    <t>Forecast (out of sample)</t>
  </si>
  <si>
    <t>Holt’s Exponential Smoothing with alpha = 0.5 and beta = 0.2</t>
  </si>
  <si>
    <t>After optimise alpha and beta via the MSE</t>
  </si>
  <si>
    <t>1. The within-sample forecast for January 2025:</t>
  </si>
  <si>
    <t>6. Alpha:</t>
  </si>
  <si>
    <t>2. The out-of-sample forecast for July 2025:</t>
  </si>
  <si>
    <t>7. Beta:</t>
  </si>
  <si>
    <t>3. The out-of-sample forecast for December 2025:</t>
  </si>
  <si>
    <t>8. The MSE:</t>
  </si>
  <si>
    <t>4. The MSE:</t>
  </si>
  <si>
    <t>9. The out-of-sample forecast for July 2025:</t>
  </si>
  <si>
    <t>5. The MAE:</t>
  </si>
  <si>
    <t>10. The out-of-sample forecast for December 2025:</t>
  </si>
  <si>
    <t>alpha</t>
  </si>
  <si>
    <t>beta</t>
  </si>
  <si>
    <t>Forecast(F)</t>
  </si>
  <si>
    <t>abs error</t>
  </si>
  <si>
    <t>Square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</si>
</sst>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Segoe UI"/>
      <family val="2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17" fontId="2" fillId="2" borderId="1" xfId="0" applyNumberFormat="1" applyFont="1" applyFill="1" applyBorder="1" applyAlignment="1">
      <alignment horizontal="left" vertical="center" wrapText="1"/>
    </xf>
    <xf numFmtId="4" fontId="3" fillId="2" borderId="1" xfId="0" applyNumberFormat="1" applyFont="1" applyFill="1" applyBorder="1" applyAlignment="1">
      <alignment horizontal="right" vertical="center" wrapText="1"/>
    </xf>
    <xf numFmtId="0" fontId="1" fillId="0" borderId="0" xfId="0" applyFon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Figure 1: </a:t>
            </a:r>
            <a:r>
              <a:rPr lang="en-US" b="0"/>
              <a:t>Original</a:t>
            </a:r>
            <a:r>
              <a:rPr lang="en-US" b="0" baseline="0"/>
              <a:t> online retailing sales</a:t>
            </a:r>
          </a:p>
          <a:p>
            <a:pPr>
              <a:defRPr/>
            </a:pPr>
            <a:r>
              <a:rPr lang="en-US" sz="1200" b="0" baseline="0"/>
              <a:t>($m) </a:t>
            </a:r>
            <a:r>
              <a:rPr lang="en-US" sz="1200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WES!$B$1</c:f>
              <c:strCache>
                <c:ptCount val="1"/>
                <c:pt idx="0">
                  <c:v>Original ($m)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WES!$A$3:$A$38</c:f>
              <c:numCache>
                <c:formatCode>mmm\-yy</c:formatCode>
                <c:ptCount val="36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  <c:pt idx="24">
                  <c:v>45323</c:v>
                </c:pt>
                <c:pt idx="25">
                  <c:v>45352</c:v>
                </c:pt>
                <c:pt idx="26">
                  <c:v>45383</c:v>
                </c:pt>
                <c:pt idx="27">
                  <c:v>45413</c:v>
                </c:pt>
                <c:pt idx="28">
                  <c:v>45444</c:v>
                </c:pt>
                <c:pt idx="29">
                  <c:v>45474</c:v>
                </c:pt>
                <c:pt idx="30">
                  <c:v>45505</c:v>
                </c:pt>
                <c:pt idx="31">
                  <c:v>45536</c:v>
                </c:pt>
                <c:pt idx="32">
                  <c:v>45566</c:v>
                </c:pt>
                <c:pt idx="33">
                  <c:v>45597</c:v>
                </c:pt>
                <c:pt idx="34">
                  <c:v>45627</c:v>
                </c:pt>
                <c:pt idx="35">
                  <c:v>45658</c:v>
                </c:pt>
              </c:numCache>
            </c:numRef>
          </c:cat>
          <c:val>
            <c:numRef>
              <c:f>WES!$B$3:$B$38</c:f>
              <c:numCache>
                <c:formatCode>#,##0.00</c:formatCode>
                <c:ptCount val="36"/>
                <c:pt idx="0">
                  <c:v>3048.2</c:v>
                </c:pt>
                <c:pt idx="1">
                  <c:v>3580.7</c:v>
                </c:pt>
                <c:pt idx="2">
                  <c:v>3246.9</c:v>
                </c:pt>
                <c:pt idx="3">
                  <c:v>3505.4</c:v>
                </c:pt>
                <c:pt idx="4">
                  <c:v>3544.4</c:v>
                </c:pt>
                <c:pt idx="5">
                  <c:v>3584</c:v>
                </c:pt>
                <c:pt idx="6">
                  <c:v>3605.2</c:v>
                </c:pt>
                <c:pt idx="7">
                  <c:v>3588.5</c:v>
                </c:pt>
                <c:pt idx="8">
                  <c:v>3784.3</c:v>
                </c:pt>
                <c:pt idx="9">
                  <c:v>4752.8999999999996</c:v>
                </c:pt>
                <c:pt idx="10">
                  <c:v>4576.7</c:v>
                </c:pt>
                <c:pt idx="11">
                  <c:v>3541.5</c:v>
                </c:pt>
                <c:pt idx="12">
                  <c:v>3246.8</c:v>
                </c:pt>
                <c:pt idx="13">
                  <c:v>3620</c:v>
                </c:pt>
                <c:pt idx="14">
                  <c:v>3357.8</c:v>
                </c:pt>
                <c:pt idx="15">
                  <c:v>3779.9</c:v>
                </c:pt>
                <c:pt idx="16">
                  <c:v>3741.8</c:v>
                </c:pt>
                <c:pt idx="17">
                  <c:v>3597.4</c:v>
                </c:pt>
                <c:pt idx="18">
                  <c:v>3664.8</c:v>
                </c:pt>
                <c:pt idx="19">
                  <c:v>3664.4</c:v>
                </c:pt>
                <c:pt idx="20">
                  <c:v>3881.4</c:v>
                </c:pt>
                <c:pt idx="21">
                  <c:v>4924</c:v>
                </c:pt>
                <c:pt idx="22">
                  <c:v>4679.3999999999996</c:v>
                </c:pt>
                <c:pt idx="23">
                  <c:v>3674</c:v>
                </c:pt>
                <c:pt idx="24">
                  <c:v>3515</c:v>
                </c:pt>
                <c:pt idx="25">
                  <c:v>3701</c:v>
                </c:pt>
                <c:pt idx="26">
                  <c:v>3745.3</c:v>
                </c:pt>
                <c:pt idx="27">
                  <c:v>4046.5</c:v>
                </c:pt>
                <c:pt idx="28">
                  <c:v>4046.9</c:v>
                </c:pt>
                <c:pt idx="29">
                  <c:v>4113</c:v>
                </c:pt>
                <c:pt idx="30">
                  <c:v>4102.8999999999996</c:v>
                </c:pt>
                <c:pt idx="31">
                  <c:v>4031.6</c:v>
                </c:pt>
                <c:pt idx="32">
                  <c:v>4333.8999999999996</c:v>
                </c:pt>
                <c:pt idx="33">
                  <c:v>5278.4</c:v>
                </c:pt>
                <c:pt idx="34">
                  <c:v>5349.4</c:v>
                </c:pt>
                <c:pt idx="35">
                  <c:v>4134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78-4373-A942-111C3819E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367183"/>
        <c:axId val="690367663"/>
      </c:lineChart>
      <c:dateAx>
        <c:axId val="6903671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367663"/>
        <c:crosses val="autoZero"/>
        <c:auto val="1"/>
        <c:lblOffset val="100"/>
        <c:baseTimeUnit val="months"/>
      </c:dateAx>
      <c:valAx>
        <c:axId val="690367663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36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Figure 3: Pre-optimised</a:t>
            </a:r>
            <a:r>
              <a:rPr lang="en-AU" baseline="0"/>
              <a:t> forecasting models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WES!$B$1</c:f>
              <c:strCache>
                <c:ptCount val="1"/>
                <c:pt idx="0">
                  <c:v>Original ($m)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WES!$A$2:$A$50</c:f>
              <c:numCache>
                <c:formatCode>mmm\-yy</c:formatCode>
                <c:ptCount val="49"/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</c:numCache>
            </c:numRef>
          </c:cat>
          <c:val>
            <c:numRef>
              <c:f>WES!$B$2:$B$50</c:f>
              <c:numCache>
                <c:formatCode>#,##0.00</c:formatCode>
                <c:ptCount val="49"/>
                <c:pt idx="1">
                  <c:v>3048.2</c:v>
                </c:pt>
                <c:pt idx="2">
                  <c:v>3580.7</c:v>
                </c:pt>
                <c:pt idx="3">
                  <c:v>3246.9</c:v>
                </c:pt>
                <c:pt idx="4">
                  <c:v>3505.4</c:v>
                </c:pt>
                <c:pt idx="5">
                  <c:v>3544.4</c:v>
                </c:pt>
                <c:pt idx="6">
                  <c:v>3584</c:v>
                </c:pt>
                <c:pt idx="7">
                  <c:v>3605.2</c:v>
                </c:pt>
                <c:pt idx="8">
                  <c:v>3588.5</c:v>
                </c:pt>
                <c:pt idx="9">
                  <c:v>3784.3</c:v>
                </c:pt>
                <c:pt idx="10">
                  <c:v>4752.8999999999996</c:v>
                </c:pt>
                <c:pt idx="11">
                  <c:v>4576.7</c:v>
                </c:pt>
                <c:pt idx="12">
                  <c:v>3541.5</c:v>
                </c:pt>
                <c:pt idx="13">
                  <c:v>3246.8</c:v>
                </c:pt>
                <c:pt idx="14">
                  <c:v>3620</c:v>
                </c:pt>
                <c:pt idx="15">
                  <c:v>3357.8</c:v>
                </c:pt>
                <c:pt idx="16">
                  <c:v>3779.9</c:v>
                </c:pt>
                <c:pt idx="17">
                  <c:v>3741.8</c:v>
                </c:pt>
                <c:pt idx="18">
                  <c:v>3597.4</c:v>
                </c:pt>
                <c:pt idx="19">
                  <c:v>3664.8</c:v>
                </c:pt>
                <c:pt idx="20">
                  <c:v>3664.4</c:v>
                </c:pt>
                <c:pt idx="21">
                  <c:v>3881.4</c:v>
                </c:pt>
                <c:pt idx="22">
                  <c:v>4924</c:v>
                </c:pt>
                <c:pt idx="23">
                  <c:v>4679.3999999999996</c:v>
                </c:pt>
                <c:pt idx="24">
                  <c:v>3674</c:v>
                </c:pt>
                <c:pt idx="25">
                  <c:v>3515</c:v>
                </c:pt>
                <c:pt idx="26">
                  <c:v>3701</c:v>
                </c:pt>
                <c:pt idx="27">
                  <c:v>3745.3</c:v>
                </c:pt>
                <c:pt idx="28">
                  <c:v>4046.5</c:v>
                </c:pt>
                <c:pt idx="29">
                  <c:v>4046.9</c:v>
                </c:pt>
                <c:pt idx="30">
                  <c:v>4113</c:v>
                </c:pt>
                <c:pt idx="31">
                  <c:v>4102.8999999999996</c:v>
                </c:pt>
                <c:pt idx="32">
                  <c:v>4031.6</c:v>
                </c:pt>
                <c:pt idx="33">
                  <c:v>4333.8999999999996</c:v>
                </c:pt>
                <c:pt idx="34">
                  <c:v>5278.4</c:v>
                </c:pt>
                <c:pt idx="35">
                  <c:v>5349.4</c:v>
                </c:pt>
                <c:pt idx="36">
                  <c:v>4134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5-41F1-A981-C9647C69BA4F}"/>
            </c:ext>
          </c:extLst>
        </c:ser>
        <c:ser>
          <c:idx val="1"/>
          <c:order val="1"/>
          <c:tx>
            <c:strRef>
              <c:f>WES!$F$1</c:f>
              <c:strCache>
                <c:ptCount val="1"/>
                <c:pt idx="0">
                  <c:v>Forecast (within sample)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WES!$A$2:$A$50</c:f>
              <c:numCache>
                <c:formatCode>mmm\-yy</c:formatCode>
                <c:ptCount val="49"/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</c:numCache>
            </c:numRef>
          </c:cat>
          <c:val>
            <c:numRef>
              <c:f>WES!$F$2:$F$50</c:f>
              <c:numCache>
                <c:formatCode>General</c:formatCode>
                <c:ptCount val="49"/>
                <c:pt idx="13">
                  <c:v>3056.6350206385669</c:v>
                </c:pt>
                <c:pt idx="14">
                  <c:v>3734.5484357196779</c:v>
                </c:pt>
                <c:pt idx="15">
                  <c:v>3353.3253499220154</c:v>
                </c:pt>
                <c:pt idx="16">
                  <c:v>3643.5518996419587</c:v>
                </c:pt>
                <c:pt idx="17">
                  <c:v>3787.8779247319217</c:v>
                </c:pt>
                <c:pt idx="18">
                  <c:v>3837.4884468868922</c:v>
                </c:pt>
                <c:pt idx="19">
                  <c:v>3746.0502522063925</c:v>
                </c:pt>
                <c:pt idx="20">
                  <c:v>3686.7595075549316</c:v>
                </c:pt>
                <c:pt idx="21">
                  <c:v>3872.1898767020839</c:v>
                </c:pt>
                <c:pt idx="22">
                  <c:v>4865.2759793635696</c:v>
                </c:pt>
                <c:pt idx="23">
                  <c:v>4715.1855434503113</c:v>
                </c:pt>
                <c:pt idx="24">
                  <c:v>3633.5960985498746</c:v>
                </c:pt>
                <c:pt idx="25">
                  <c:v>3156.7784108284732</c:v>
                </c:pt>
                <c:pt idx="26">
                  <c:v>3945.5105787521102</c:v>
                </c:pt>
                <c:pt idx="27">
                  <c:v>3490.906737466531</c:v>
                </c:pt>
                <c:pt idx="28">
                  <c:v>3960.5086854467772</c:v>
                </c:pt>
                <c:pt idx="29">
                  <c:v>4094.6746013562638</c:v>
                </c:pt>
                <c:pt idx="30">
                  <c:v>4157.6747422346143</c:v>
                </c:pt>
                <c:pt idx="31">
                  <c:v>4216.8033856865904</c:v>
                </c:pt>
                <c:pt idx="32">
                  <c:v>4180.4386159873311</c:v>
                </c:pt>
                <c:pt idx="33">
                  <c:v>4354.7703543641383</c:v>
                </c:pt>
                <c:pt idx="34">
                  <c:v>5485.0316444441723</c:v>
                </c:pt>
                <c:pt idx="35">
                  <c:v>5182.3832132124708</c:v>
                </c:pt>
                <c:pt idx="36">
                  <c:v>4095.6194541698433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A5-41F1-A981-C9647C69BA4F}"/>
            </c:ext>
          </c:extLst>
        </c:ser>
        <c:ser>
          <c:idx val="2"/>
          <c:order val="2"/>
          <c:tx>
            <c:strRef>
              <c:f>WES!$H$1</c:f>
              <c:strCache>
                <c:ptCount val="1"/>
                <c:pt idx="0">
                  <c:v>Forecast (out of sample)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WES!$A$2:$A$50</c:f>
              <c:numCache>
                <c:formatCode>mmm\-yy</c:formatCode>
                <c:ptCount val="49"/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</c:numCache>
            </c:numRef>
          </c:cat>
          <c:val>
            <c:numRef>
              <c:f>WES!$H$2:$H$50</c:f>
              <c:numCache>
                <c:formatCode>General</c:formatCode>
                <c:ptCount val="49"/>
                <c:pt idx="36">
                  <c:v>4102.2338485814771</c:v>
                </c:pt>
                <c:pt idx="37">
                  <c:v>3800.7706781201068</c:v>
                </c:pt>
                <c:pt idx="38">
                  <c:v>4065.9116149662273</c:v>
                </c:pt>
                <c:pt idx="39">
                  <c:v>3962.3650215666275</c:v>
                </c:pt>
                <c:pt idx="40">
                  <c:v>4249.1746762003741</c:v>
                </c:pt>
                <c:pt idx="41">
                  <c:v>4209.8881040856131</c:v>
                </c:pt>
                <c:pt idx="42">
                  <c:v>4194.5526004060575</c:v>
                </c:pt>
                <c:pt idx="43">
                  <c:v>4198.2432521044821</c:v>
                </c:pt>
                <c:pt idx="44">
                  <c:v>4168.7287099790974</c:v>
                </c:pt>
                <c:pt idx="45">
                  <c:v>4475.6321632103327</c:v>
                </c:pt>
                <c:pt idx="46">
                  <c:v>5547.5672722854806</c:v>
                </c:pt>
                <c:pt idx="47">
                  <c:v>5516.3028251359001</c:v>
                </c:pt>
                <c:pt idx="48">
                  <c:v>4253.8501408866705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A5-41F1-A981-C9647C69B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610879"/>
        <c:axId val="692613279"/>
      </c:lineChart>
      <c:dateAx>
        <c:axId val="692610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613279"/>
        <c:crosses val="autoZero"/>
        <c:auto val="1"/>
        <c:lblOffset val="100"/>
        <c:baseTimeUnit val="months"/>
      </c:dateAx>
      <c:valAx>
        <c:axId val="692613279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61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Figure 4: Residual</a:t>
            </a:r>
            <a:r>
              <a:rPr lang="en-AU" baseline="0"/>
              <a:t> distribution after optimization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WES!$J$15:$J$38</c:f>
              <c:numCache>
                <c:formatCode>General</c:formatCode>
                <c:ptCount val="24"/>
                <c:pt idx="0">
                  <c:v>190.16497936143332</c:v>
                </c:pt>
                <c:pt idx="1">
                  <c:v>114.54843571967785</c:v>
                </c:pt>
                <c:pt idx="2">
                  <c:v>4.4746500779847338</c:v>
                </c:pt>
                <c:pt idx="3">
                  <c:v>136.34810035804139</c:v>
                </c:pt>
                <c:pt idx="4">
                  <c:v>46.077924731921485</c:v>
                </c:pt>
                <c:pt idx="5">
                  <c:v>240.08844688689214</c:v>
                </c:pt>
                <c:pt idx="6">
                  <c:v>81.250252206392361</c:v>
                </c:pt>
                <c:pt idx="7">
                  <c:v>22.359507554931497</c:v>
                </c:pt>
                <c:pt idx="8">
                  <c:v>9.2101232979161978</c:v>
                </c:pt>
                <c:pt idx="9">
                  <c:v>58.724020636430396</c:v>
                </c:pt>
                <c:pt idx="10">
                  <c:v>35.785543450311707</c:v>
                </c:pt>
                <c:pt idx="11">
                  <c:v>40.403901450125431</c:v>
                </c:pt>
                <c:pt idx="12">
                  <c:v>358.22158917152683</c:v>
                </c:pt>
                <c:pt idx="13">
                  <c:v>244.51057875211018</c:v>
                </c:pt>
                <c:pt idx="14">
                  <c:v>254.39326253346917</c:v>
                </c:pt>
                <c:pt idx="15">
                  <c:v>85.991314553222765</c:v>
                </c:pt>
                <c:pt idx="16">
                  <c:v>47.774601356263702</c:v>
                </c:pt>
                <c:pt idx="17">
                  <c:v>44.674742234614314</c:v>
                </c:pt>
                <c:pt idx="18">
                  <c:v>113.90338568659081</c:v>
                </c:pt>
                <c:pt idx="19">
                  <c:v>148.8386159873312</c:v>
                </c:pt>
                <c:pt idx="20">
                  <c:v>20.87035436413862</c:v>
                </c:pt>
                <c:pt idx="21">
                  <c:v>206.63164444417271</c:v>
                </c:pt>
                <c:pt idx="22">
                  <c:v>167.01678678752887</c:v>
                </c:pt>
                <c:pt idx="23">
                  <c:v>38.380545830156734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18-4E44-A4C2-1E6971243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350383"/>
        <c:axId val="690342703"/>
      </c:scatterChart>
      <c:valAx>
        <c:axId val="69035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342703"/>
        <c:crosses val="autoZero"/>
        <c:crossBetween val="midCat"/>
      </c:valAx>
      <c:valAx>
        <c:axId val="69034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35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593724</xdr:colOff>
      <xdr:row>41</xdr:row>
      <xdr:rowOff>57150</xdr:rowOff>
    </xdr:from>
    <xdr:to>
      <xdr:col>20</xdr:col>
      <xdr:colOff>82549</xdr:colOff>
      <xdr:row>55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A904F3-B421-1C65-CF3A-E8834656D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485775</xdr:colOff>
      <xdr:row>10</xdr:row>
      <xdr:rowOff>25400</xdr:rowOff>
    </xdr:from>
    <xdr:to>
      <xdr:col>20</xdr:col>
      <xdr:colOff>180975</xdr:colOff>
      <xdr:row>24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B5D887-BF26-4FA8-B6C8-39E01781F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422275</xdr:colOff>
      <xdr:row>20</xdr:row>
      <xdr:rowOff>82550</xdr:rowOff>
    </xdr:from>
    <xdr:to>
      <xdr:col>8</xdr:col>
      <xdr:colOff>282575</xdr:colOff>
      <xdr:row>34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D7B9FE-1773-BB8D-A9DB-EAB0A7A19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0393-53D2-4038-8137-D9382B98E38A}">
  <dimension ref="A1:M59"/>
  <sheetViews>
    <sheetView workbookViewId="0">
      <selection activeCell="F4" sqref="F4"/>
    </sheetView>
  </sheetViews>
  <sheetFormatPr defaultRowHeight="14.5" x14ac:dyDescent="0.35"/>
  <cols>
    <col min="2" max="2" width="21.26953125" bestFit="1" customWidth="1"/>
    <col min="6" max="6" width="10.54296875" customWidth="1"/>
    <col min="9" max="9" width="8.90625" bestFit="1" customWidth="1"/>
  </cols>
  <sheetData>
    <row r="1" spans="1:9" x14ac:dyDescent="0.35">
      <c r="A1" s="3" t="s">
        <v>0</v>
      </c>
      <c r="B1" s="3" t="s">
        <v>2</v>
      </c>
      <c r="C1" s="3" t="s">
        <v>3</v>
      </c>
      <c r="D1" s="3" t="s">
        <v>4</v>
      </c>
      <c r="E1" s="3" t="s">
        <v>7</v>
      </c>
      <c r="F1" s="3" t="s">
        <v>8</v>
      </c>
      <c r="G1" s="3" t="s">
        <v>9</v>
      </c>
      <c r="H1" t="s">
        <v>5</v>
      </c>
      <c r="I1">
        <v>0.98501890475320597</v>
      </c>
    </row>
    <row r="2" spans="1:9" ht="15" thickBot="1" x14ac:dyDescent="0.4">
      <c r="A2" s="1">
        <v>44593</v>
      </c>
      <c r="B2" s="2">
        <v>3654.7</v>
      </c>
      <c r="C2" s="4">
        <f>B2</f>
        <v>3654.7</v>
      </c>
      <c r="D2" s="4">
        <f>B3-B2</f>
        <v>115.90000000000009</v>
      </c>
      <c r="H2" t="s">
        <v>6</v>
      </c>
      <c r="I2">
        <v>0.14825689646714471</v>
      </c>
    </row>
    <row r="3" spans="1:9" ht="15" thickBot="1" x14ac:dyDescent="0.4">
      <c r="A3" s="1">
        <v>44621</v>
      </c>
      <c r="B3" s="2">
        <v>3770.6</v>
      </c>
      <c r="C3">
        <f>$I$1*B3+(1-$I$1)*(C2+D2)</f>
        <v>3770.6</v>
      </c>
      <c r="D3">
        <f>$I$2*(C3-C2)+(1-$I$2)*D2</f>
        <v>115.90000000000009</v>
      </c>
      <c r="E3" s="4">
        <f>C2+D2</f>
        <v>3770.6</v>
      </c>
      <c r="F3" s="4">
        <f>ABS(B3-E3)</f>
        <v>0</v>
      </c>
      <c r="G3" s="4">
        <f>F3^2</f>
        <v>0</v>
      </c>
    </row>
    <row r="4" spans="1:9" ht="15" thickBot="1" x14ac:dyDescent="0.4">
      <c r="A4" s="1">
        <v>44652</v>
      </c>
      <c r="B4" s="2">
        <v>3698.6</v>
      </c>
      <c r="C4">
        <f t="shared" ref="C4:C37" si="0">$I$1*B4+(1-$I$1)*(C3+D3)</f>
        <v>3701.4149477968722</v>
      </c>
      <c r="D4">
        <f t="shared" ref="D4:D37" si="1">$I$2*(C4-C3)+(1-$I$2)*D3</f>
        <v>88.459864577904895</v>
      </c>
      <c r="E4" s="4">
        <f t="shared" ref="E4:E37" si="2">C3+D3</f>
        <v>3886.5</v>
      </c>
      <c r="F4" s="4">
        <f t="shared" ref="F4:F37" si="3">ABS(B4-E4)</f>
        <v>187.90000000000009</v>
      </c>
      <c r="G4" s="4">
        <f t="shared" ref="G4:G37" si="4">F4^2</f>
        <v>35306.410000000033</v>
      </c>
    </row>
    <row r="5" spans="1:9" ht="15" thickBot="1" x14ac:dyDescent="0.4">
      <c r="A5" s="1">
        <v>44682</v>
      </c>
      <c r="B5" s="2">
        <v>3607.7</v>
      </c>
      <c r="C5">
        <f t="shared" si="0"/>
        <v>3610.4291782157529</v>
      </c>
      <c r="D5">
        <f t="shared" si="1"/>
        <v>61.855811772909327</v>
      </c>
      <c r="E5" s="4">
        <f t="shared" si="2"/>
        <v>3789.8748123747769</v>
      </c>
      <c r="F5" s="4">
        <f t="shared" si="3"/>
        <v>182.17481237477705</v>
      </c>
      <c r="G5" s="4">
        <f t="shared" si="4"/>
        <v>33187.66226378522</v>
      </c>
    </row>
    <row r="6" spans="1:9" ht="15" thickBot="1" x14ac:dyDescent="0.4">
      <c r="A6" s="1">
        <v>44713</v>
      </c>
      <c r="B6" s="2">
        <v>3661.9</v>
      </c>
      <c r="C6">
        <f t="shared" si="0"/>
        <v>3662.0555785241577</v>
      </c>
      <c r="D6">
        <f t="shared" si="1"/>
        <v>60.339230976496452</v>
      </c>
      <c r="E6" s="4">
        <f t="shared" si="2"/>
        <v>3672.2849899886623</v>
      </c>
      <c r="F6" s="4">
        <f t="shared" si="3"/>
        <v>10.384989988662255</v>
      </c>
      <c r="G6" s="4">
        <f t="shared" si="4"/>
        <v>107.84801706461526</v>
      </c>
    </row>
    <row r="7" spans="1:9" ht="15" thickBot="1" x14ac:dyDescent="0.4">
      <c r="A7" s="1">
        <v>44743</v>
      </c>
      <c r="B7" s="2">
        <v>3675.9</v>
      </c>
      <c r="C7">
        <f t="shared" si="0"/>
        <v>3676.5965431696109</v>
      </c>
      <c r="D7">
        <f t="shared" si="1"/>
        <v>53.549322146680247</v>
      </c>
      <c r="E7" s="4">
        <f t="shared" si="2"/>
        <v>3722.394809500654</v>
      </c>
      <c r="F7" s="4">
        <f t="shared" si="3"/>
        <v>46.494809500653901</v>
      </c>
      <c r="G7" s="4">
        <f t="shared" si="4"/>
        <v>2161.7673105020963</v>
      </c>
    </row>
    <row r="8" spans="1:9" ht="15" thickBot="1" x14ac:dyDescent="0.4">
      <c r="A8" s="1">
        <v>44774</v>
      </c>
      <c r="B8" s="2">
        <v>3613.5</v>
      </c>
      <c r="C8">
        <f t="shared" si="0"/>
        <v>3615.2474828184477</v>
      </c>
      <c r="D8">
        <f t="shared" si="1"/>
        <v>36.514844548455081</v>
      </c>
      <c r="E8" s="4">
        <f t="shared" si="2"/>
        <v>3730.1458653162913</v>
      </c>
      <c r="F8" s="4">
        <f t="shared" si="3"/>
        <v>116.64586531629129</v>
      </c>
      <c r="G8" s="4">
        <f t="shared" si="4"/>
        <v>13606.257895386369</v>
      </c>
    </row>
    <row r="9" spans="1:9" ht="15" thickBot="1" x14ac:dyDescent="0.4">
      <c r="A9" s="1">
        <v>44805</v>
      </c>
      <c r="B9" s="2">
        <v>3606.2</v>
      </c>
      <c r="C9">
        <f t="shared" si="0"/>
        <v>3606.8825735659489</v>
      </c>
      <c r="D9">
        <f t="shared" si="1"/>
        <v>29.861111535716116</v>
      </c>
      <c r="E9" s="4">
        <f t="shared" si="2"/>
        <v>3651.7623273669028</v>
      </c>
      <c r="F9" s="4">
        <f t="shared" si="3"/>
        <v>45.562327366902991</v>
      </c>
      <c r="G9" s="4">
        <f t="shared" si="4"/>
        <v>2075.9256750888371</v>
      </c>
    </row>
    <row r="10" spans="1:9" ht="15" thickBot="1" x14ac:dyDescent="0.4">
      <c r="A10" s="1">
        <v>44835</v>
      </c>
      <c r="B10" s="2">
        <v>3624.1</v>
      </c>
      <c r="C10">
        <f t="shared" si="0"/>
        <v>3624.2894162507782</v>
      </c>
      <c r="D10">
        <f t="shared" si="1"/>
        <v>28.014680288116214</v>
      </c>
      <c r="E10" s="4">
        <f t="shared" si="2"/>
        <v>3636.7436851016651</v>
      </c>
      <c r="F10" s="4">
        <f t="shared" si="3"/>
        <v>12.643685101665142</v>
      </c>
      <c r="G10" s="4">
        <f t="shared" si="4"/>
        <v>159.86277295006906</v>
      </c>
    </row>
    <row r="11" spans="1:9" ht="15" thickBot="1" x14ac:dyDescent="0.4">
      <c r="A11" s="1">
        <v>44866</v>
      </c>
      <c r="B11" s="2">
        <v>3821.3</v>
      </c>
      <c r="C11">
        <f t="shared" si="0"/>
        <v>3818.7682562739315</v>
      </c>
      <c r="D11">
        <f t="shared" si="1"/>
        <v>52.694139983443833</v>
      </c>
      <c r="E11" s="4">
        <f t="shared" si="2"/>
        <v>3652.3040965388946</v>
      </c>
      <c r="F11" s="4">
        <f t="shared" si="3"/>
        <v>168.99590346110563</v>
      </c>
      <c r="G11" s="4">
        <f t="shared" si="4"/>
        <v>28559.615386635334</v>
      </c>
    </row>
    <row r="12" spans="1:9" ht="15" thickBot="1" x14ac:dyDescent="0.4">
      <c r="A12" s="1">
        <v>44896</v>
      </c>
      <c r="B12" s="2">
        <v>3778.1</v>
      </c>
      <c r="C12">
        <f t="shared" si="0"/>
        <v>3779.4986709508007</v>
      </c>
      <c r="D12">
        <f t="shared" si="1"/>
        <v>39.059883481934072</v>
      </c>
      <c r="E12" s="4">
        <f t="shared" si="2"/>
        <v>3871.4623962573751</v>
      </c>
      <c r="F12" s="4">
        <f t="shared" si="3"/>
        <v>93.362396257375167</v>
      </c>
      <c r="G12" s="4">
        <f t="shared" si="4"/>
        <v>8716.5370349191398</v>
      </c>
    </row>
    <row r="13" spans="1:9" ht="15" thickBot="1" x14ac:dyDescent="0.4">
      <c r="A13" s="1">
        <v>44927</v>
      </c>
      <c r="B13" s="2">
        <v>3826.5</v>
      </c>
      <c r="C13">
        <f t="shared" si="0"/>
        <v>3826.3810284475594</v>
      </c>
      <c r="D13">
        <f t="shared" si="1"/>
        <v>40.219619202066852</v>
      </c>
      <c r="E13" s="4">
        <f t="shared" si="2"/>
        <v>3818.5585544327346</v>
      </c>
      <c r="F13" s="4">
        <f t="shared" si="3"/>
        <v>7.9414455672654185</v>
      </c>
      <c r="G13" s="4">
        <f t="shared" si="4"/>
        <v>63.066557697839563</v>
      </c>
    </row>
    <row r="14" spans="1:9" ht="15" thickBot="1" x14ac:dyDescent="0.4">
      <c r="A14" s="1">
        <v>44958</v>
      </c>
      <c r="B14" s="2">
        <v>3907</v>
      </c>
      <c r="C14">
        <f t="shared" si="0"/>
        <v>3906.39477345453</v>
      </c>
      <c r="D14">
        <f t="shared" si="1"/>
        <v>46.119372791524995</v>
      </c>
      <c r="E14" s="4">
        <f t="shared" si="2"/>
        <v>3866.6006476496264</v>
      </c>
      <c r="F14" s="4">
        <f t="shared" si="3"/>
        <v>40.399352350373647</v>
      </c>
      <c r="G14" s="4">
        <f t="shared" si="4"/>
        <v>1632.1076703296408</v>
      </c>
    </row>
    <row r="15" spans="1:9" ht="15" thickBot="1" x14ac:dyDescent="0.4">
      <c r="A15" s="1">
        <v>44986</v>
      </c>
      <c r="B15" s="2">
        <v>3839.6</v>
      </c>
      <c r="C15">
        <f t="shared" si="0"/>
        <v>3841.2915775796223</v>
      </c>
      <c r="D15">
        <f t="shared" si="1"/>
        <v>29.629859943935799</v>
      </c>
      <c r="E15" s="4">
        <f t="shared" si="2"/>
        <v>3952.5141462460551</v>
      </c>
      <c r="F15" s="4">
        <f t="shared" si="3"/>
        <v>112.91414624605522</v>
      </c>
      <c r="G15" s="4">
        <f t="shared" si="4"/>
        <v>12749.604422475548</v>
      </c>
    </row>
    <row r="16" spans="1:9" ht="15" thickBot="1" x14ac:dyDescent="0.4">
      <c r="A16" s="1">
        <v>45017</v>
      </c>
      <c r="B16" s="2">
        <v>3788.5</v>
      </c>
      <c r="C16">
        <f t="shared" si="0"/>
        <v>3789.7347634059183</v>
      </c>
      <c r="D16">
        <f t="shared" si="1"/>
        <v>17.593375604765065</v>
      </c>
      <c r="E16" s="4">
        <f t="shared" si="2"/>
        <v>3870.9214375235579</v>
      </c>
      <c r="F16" s="4">
        <f t="shared" si="3"/>
        <v>82.42143752355787</v>
      </c>
      <c r="G16" s="4">
        <f t="shared" si="4"/>
        <v>6793.2933634497531</v>
      </c>
    </row>
    <row r="17" spans="1:9" ht="15" thickBot="1" x14ac:dyDescent="0.4">
      <c r="A17" s="1">
        <v>45047</v>
      </c>
      <c r="B17" s="2">
        <v>3894.7</v>
      </c>
      <c r="C17">
        <f t="shared" si="0"/>
        <v>3893.3910738286295</v>
      </c>
      <c r="D17">
        <f t="shared" si="1"/>
        <v>30.352799221727921</v>
      </c>
      <c r="E17" s="4">
        <f t="shared" si="2"/>
        <v>3807.3281390106836</v>
      </c>
      <c r="F17" s="4">
        <f t="shared" si="3"/>
        <v>87.371860989316247</v>
      </c>
      <c r="G17" s="4">
        <f t="shared" si="4"/>
        <v>7633.8420927364023</v>
      </c>
    </row>
    <row r="18" spans="1:9" ht="15" thickBot="1" x14ac:dyDescent="0.4">
      <c r="A18" s="1">
        <v>45078</v>
      </c>
      <c r="B18" s="2">
        <v>3890.2</v>
      </c>
      <c r="C18">
        <f t="shared" si="0"/>
        <v>3890.702523957114</v>
      </c>
      <c r="D18">
        <f t="shared" si="1"/>
        <v>25.45419135007614</v>
      </c>
      <c r="E18" s="4">
        <f t="shared" si="2"/>
        <v>3923.7438730503573</v>
      </c>
      <c r="F18" s="4">
        <f t="shared" si="3"/>
        <v>33.543873050357433</v>
      </c>
      <c r="G18" s="4">
        <f t="shared" si="4"/>
        <v>1125.1914192184956</v>
      </c>
    </row>
    <row r="19" spans="1:9" ht="15" thickBot="1" x14ac:dyDescent="0.4">
      <c r="A19" s="1">
        <v>45108</v>
      </c>
      <c r="B19" s="2">
        <v>3634</v>
      </c>
      <c r="C19">
        <f t="shared" si="0"/>
        <v>3638.2270166265398</v>
      </c>
      <c r="D19">
        <f t="shared" si="1"/>
        <v>-15.750803212365756</v>
      </c>
      <c r="E19" s="4">
        <f t="shared" si="2"/>
        <v>3916.1567153071901</v>
      </c>
      <c r="F19" s="4">
        <f t="shared" si="3"/>
        <v>282.1567153071901</v>
      </c>
      <c r="G19" s="4">
        <f t="shared" si="4"/>
        <v>79612.411992942725</v>
      </c>
    </row>
    <row r="20" spans="1:9" ht="15" thickBot="1" x14ac:dyDescent="0.4">
      <c r="A20" s="1">
        <v>45139</v>
      </c>
      <c r="B20" s="2">
        <v>3656.6</v>
      </c>
      <c r="C20">
        <f t="shared" si="0"/>
        <v>3656.0887883029764</v>
      </c>
      <c r="D20">
        <f t="shared" si="1"/>
        <v>-10.767507177082447</v>
      </c>
      <c r="E20" s="4">
        <f t="shared" si="2"/>
        <v>3622.4762134141743</v>
      </c>
      <c r="F20" s="4">
        <f t="shared" si="3"/>
        <v>34.123786585825655</v>
      </c>
      <c r="G20" s="4">
        <f t="shared" si="4"/>
        <v>1164.4328109549749</v>
      </c>
    </row>
    <row r="21" spans="1:9" ht="15" thickBot="1" x14ac:dyDescent="0.4">
      <c r="A21" s="1">
        <v>45170</v>
      </c>
      <c r="B21" s="2">
        <v>3749.8</v>
      </c>
      <c r="C21">
        <f t="shared" si="0"/>
        <v>3748.2347943612845</v>
      </c>
      <c r="D21">
        <f t="shared" si="1"/>
        <v>4.490130899726978</v>
      </c>
      <c r="E21" s="4">
        <f t="shared" si="2"/>
        <v>3645.3212811258941</v>
      </c>
      <c r="F21" s="4">
        <f t="shared" si="3"/>
        <v>104.47871887410611</v>
      </c>
      <c r="G21" s="4">
        <f t="shared" si="4"/>
        <v>10915.802697574496</v>
      </c>
    </row>
    <row r="22" spans="1:9" ht="15" thickBot="1" x14ac:dyDescent="0.4">
      <c r="A22" s="1">
        <v>45200</v>
      </c>
      <c r="B22" s="2">
        <v>3754</v>
      </c>
      <c r="C22">
        <f t="shared" si="0"/>
        <v>3753.9808979838886</v>
      </c>
      <c r="D22">
        <f t="shared" si="1"/>
        <v>4.676337517668129</v>
      </c>
      <c r="E22" s="4">
        <f t="shared" si="2"/>
        <v>3752.7249252610113</v>
      </c>
      <c r="F22" s="4">
        <f t="shared" si="3"/>
        <v>1.2750747389886783</v>
      </c>
      <c r="G22" s="4">
        <f t="shared" si="4"/>
        <v>1.6258155900070461</v>
      </c>
    </row>
    <row r="23" spans="1:9" ht="15" thickBot="1" x14ac:dyDescent="0.4">
      <c r="A23" s="1">
        <v>45231</v>
      </c>
      <c r="B23" s="2">
        <v>3869.9</v>
      </c>
      <c r="C23">
        <f t="shared" si="0"/>
        <v>3868.2334615495324</v>
      </c>
      <c r="D23">
        <f t="shared" si="1"/>
        <v>20.921768718123314</v>
      </c>
      <c r="E23" s="4">
        <f t="shared" si="2"/>
        <v>3758.6572355015569</v>
      </c>
      <c r="F23" s="4">
        <f t="shared" si="3"/>
        <v>111.24276449844319</v>
      </c>
      <c r="G23" s="4">
        <f t="shared" si="4"/>
        <v>12374.952653256094</v>
      </c>
    </row>
    <row r="24" spans="1:9" ht="15" thickBot="1" x14ac:dyDescent="0.4">
      <c r="A24" s="1">
        <v>45261</v>
      </c>
      <c r="B24" s="2">
        <v>3911.2</v>
      </c>
      <c r="C24">
        <f t="shared" si="0"/>
        <v>3910.869745204946</v>
      </c>
      <c r="D24">
        <f t="shared" si="1"/>
        <v>24.14109531101542</v>
      </c>
      <c r="E24" s="4">
        <f t="shared" si="2"/>
        <v>3889.155230267656</v>
      </c>
      <c r="F24" s="4">
        <f t="shared" si="3"/>
        <v>22.044769732343866</v>
      </c>
      <c r="G24" s="4">
        <f t="shared" si="4"/>
        <v>485.97187255206427</v>
      </c>
    </row>
    <row r="25" spans="1:9" ht="15" thickBot="1" x14ac:dyDescent="0.4">
      <c r="A25" s="1">
        <v>45292</v>
      </c>
      <c r="B25" s="2">
        <v>3954.5</v>
      </c>
      <c r="C25">
        <f t="shared" si="0"/>
        <v>3954.2080310454899</v>
      </c>
      <c r="D25">
        <f t="shared" si="1"/>
        <v>26.987211199811775</v>
      </c>
      <c r="E25" s="4">
        <f t="shared" si="2"/>
        <v>3935.0108405159613</v>
      </c>
      <c r="F25" s="4">
        <f t="shared" si="3"/>
        <v>19.489159484038737</v>
      </c>
      <c r="G25" s="4">
        <f t="shared" si="4"/>
        <v>379.82733739429705</v>
      </c>
    </row>
    <row r="26" spans="1:9" ht="15" thickBot="1" x14ac:dyDescent="0.4">
      <c r="A26" s="1">
        <v>45323</v>
      </c>
      <c r="B26" s="2">
        <v>4016.8</v>
      </c>
      <c r="C26">
        <f t="shared" si="0"/>
        <v>4016.2666017328379</v>
      </c>
      <c r="D26">
        <f t="shared" si="1"/>
        <v>32.186782112317452</v>
      </c>
      <c r="E26" s="4">
        <f t="shared" si="2"/>
        <v>3981.1952422453014</v>
      </c>
      <c r="F26" s="4">
        <f t="shared" si="3"/>
        <v>35.604757754698767</v>
      </c>
      <c r="G26" s="4">
        <f t="shared" si="4"/>
        <v>1267.6987747707819</v>
      </c>
    </row>
    <row r="27" spans="1:9" ht="15" thickBot="1" x14ac:dyDescent="0.4">
      <c r="A27" s="1">
        <v>45352</v>
      </c>
      <c r="B27" s="2">
        <v>3988.2</v>
      </c>
      <c r="C27">
        <f t="shared" si="0"/>
        <v>3989.1026616823256</v>
      </c>
      <c r="D27">
        <f t="shared" si="1"/>
        <v>23.387628241372525</v>
      </c>
      <c r="E27" s="4">
        <f t="shared" si="2"/>
        <v>4048.4533838451553</v>
      </c>
      <c r="F27" s="4">
        <f t="shared" si="3"/>
        <v>60.25338384515544</v>
      </c>
      <c r="G27" s="4">
        <f t="shared" si="4"/>
        <v>3630.4702647916388</v>
      </c>
    </row>
    <row r="28" spans="1:9" ht="15" thickBot="1" x14ac:dyDescent="0.4">
      <c r="A28" s="1">
        <v>45383</v>
      </c>
      <c r="B28" s="2">
        <v>4230.8</v>
      </c>
      <c r="C28">
        <f t="shared" si="0"/>
        <v>4227.5294814400468</v>
      </c>
      <c r="D28">
        <f t="shared" si="1"/>
        <v>55.268671394390338</v>
      </c>
      <c r="E28" s="4">
        <f t="shared" si="2"/>
        <v>4012.4902899236981</v>
      </c>
      <c r="F28" s="4">
        <f t="shared" si="3"/>
        <v>218.30971007630205</v>
      </c>
      <c r="G28" s="4">
        <f t="shared" si="4"/>
        <v>47659.129513599059</v>
      </c>
      <c r="H28" t="s">
        <v>10</v>
      </c>
      <c r="I28" t="s">
        <v>11</v>
      </c>
    </row>
    <row r="29" spans="1:9" ht="15" thickBot="1" x14ac:dyDescent="0.4">
      <c r="A29" s="1">
        <v>45413</v>
      </c>
      <c r="B29" s="2">
        <v>4152.8999999999996</v>
      </c>
      <c r="C29">
        <f t="shared" si="0"/>
        <v>4154.846016599995</v>
      </c>
      <c r="D29">
        <f t="shared" si="1"/>
        <v>36.29888477993066</v>
      </c>
      <c r="E29" s="4">
        <f t="shared" si="2"/>
        <v>4282.7981528344371</v>
      </c>
      <c r="F29" s="4">
        <f t="shared" si="3"/>
        <v>129.8981528344375</v>
      </c>
      <c r="G29" s="4">
        <f t="shared" si="4"/>
        <v>16873.530109798881</v>
      </c>
      <c r="H29" s="4">
        <f>AVERAGE(F3:F37)</f>
        <v>79.270137029964872</v>
      </c>
      <c r="I29" s="4">
        <f>AVERAGE(G3:G37)</f>
        <v>10770.173774320197</v>
      </c>
    </row>
    <row r="30" spans="1:9" ht="15" thickBot="1" x14ac:dyDescent="0.4">
      <c r="A30" s="1">
        <v>45444</v>
      </c>
      <c r="B30" s="2">
        <v>4200.1000000000004</v>
      </c>
      <c r="C30">
        <f t="shared" si="0"/>
        <v>4199.9658428146286</v>
      </c>
      <c r="D30">
        <f t="shared" si="1"/>
        <v>37.606650180958155</v>
      </c>
      <c r="E30" s="4">
        <f t="shared" si="2"/>
        <v>4191.1449013799256</v>
      </c>
      <c r="F30" s="4">
        <f t="shared" si="3"/>
        <v>8.9550986200747502</v>
      </c>
      <c r="G30" s="4">
        <f t="shared" si="4"/>
        <v>80.193791295264703</v>
      </c>
    </row>
    <row r="31" spans="1:9" ht="15" thickBot="1" x14ac:dyDescent="0.4">
      <c r="A31" s="1">
        <v>45474</v>
      </c>
      <c r="B31" s="2">
        <v>4181.8</v>
      </c>
      <c r="C31">
        <f t="shared" si="0"/>
        <v>4182.6355330297183</v>
      </c>
      <c r="D31">
        <f t="shared" si="1"/>
        <v>29.461866995078733</v>
      </c>
      <c r="E31" s="4">
        <f t="shared" si="2"/>
        <v>4237.5724929955868</v>
      </c>
      <c r="F31" s="4">
        <f t="shared" si="3"/>
        <v>55.772492995586617</v>
      </c>
      <c r="G31" s="4">
        <f t="shared" si="4"/>
        <v>3110.5709749427583</v>
      </c>
    </row>
    <row r="32" spans="1:9" ht="15" thickBot="1" x14ac:dyDescent="0.4">
      <c r="A32" s="1">
        <v>45505</v>
      </c>
      <c r="B32" s="2">
        <v>4125.6000000000004</v>
      </c>
      <c r="C32">
        <f t="shared" si="0"/>
        <v>4126.8958257883714</v>
      </c>
      <c r="D32">
        <f t="shared" si="1"/>
        <v>16.830146024671237</v>
      </c>
      <c r="E32" s="4">
        <f t="shared" si="2"/>
        <v>4212.097400024797</v>
      </c>
      <c r="F32" s="4">
        <f t="shared" si="3"/>
        <v>86.497400024796661</v>
      </c>
      <c r="G32" s="4">
        <f t="shared" si="4"/>
        <v>7481.8002110496936</v>
      </c>
    </row>
    <row r="33" spans="1:7" ht="15" thickBot="1" x14ac:dyDescent="0.4">
      <c r="A33" s="1">
        <v>45536</v>
      </c>
      <c r="B33" s="2">
        <v>4082.6</v>
      </c>
      <c r="C33">
        <f t="shared" si="0"/>
        <v>4083.515734005784</v>
      </c>
      <c r="D33">
        <f t="shared" si="1"/>
        <v>7.9035630318183241</v>
      </c>
      <c r="E33" s="4">
        <f t="shared" si="2"/>
        <v>4143.7259718130426</v>
      </c>
      <c r="F33" s="4">
        <f t="shared" si="3"/>
        <v>61.125971813042725</v>
      </c>
      <c r="G33" s="4">
        <f t="shared" si="4"/>
        <v>3736.3844300888936</v>
      </c>
    </row>
    <row r="34" spans="1:7" ht="15" thickBot="1" x14ac:dyDescent="0.4">
      <c r="A34" s="1">
        <v>45566</v>
      </c>
      <c r="B34" s="2">
        <v>4158.2</v>
      </c>
      <c r="C34">
        <f t="shared" si="0"/>
        <v>4157.1995519282727</v>
      </c>
      <c r="D34">
        <f t="shared" si="1"/>
        <v>17.655939470726839</v>
      </c>
      <c r="E34" s="4">
        <f t="shared" si="2"/>
        <v>4091.4192970376025</v>
      </c>
      <c r="F34" s="4">
        <f t="shared" si="3"/>
        <v>66.780702962397299</v>
      </c>
      <c r="G34" s="4">
        <f t="shared" si="4"/>
        <v>4459.6622881519397</v>
      </c>
    </row>
    <row r="35" spans="1:7" ht="15" thickBot="1" x14ac:dyDescent="0.4">
      <c r="A35" s="1">
        <v>45597</v>
      </c>
      <c r="B35" s="2">
        <v>4232.2</v>
      </c>
      <c r="C35">
        <f t="shared" si="0"/>
        <v>4231.3409164547675</v>
      </c>
      <c r="D35">
        <f t="shared" si="1"/>
        <v>26.030293285122482</v>
      </c>
      <c r="E35" s="4">
        <f t="shared" si="2"/>
        <v>4174.8554913989992</v>
      </c>
      <c r="F35" s="4">
        <f t="shared" si="3"/>
        <v>57.344508601000598</v>
      </c>
      <c r="G35" s="4">
        <f t="shared" si="4"/>
        <v>3288.3926666902316</v>
      </c>
    </row>
    <row r="36" spans="1:7" ht="15" thickBot="1" x14ac:dyDescent="0.4">
      <c r="A36" s="1">
        <v>45627</v>
      </c>
      <c r="B36" s="2">
        <v>4417.5</v>
      </c>
      <c r="C36">
        <f t="shared" si="0"/>
        <v>4415.1010953413588</v>
      </c>
      <c r="D36">
        <f t="shared" si="1"/>
        <v>49.414836604514036</v>
      </c>
      <c r="E36" s="4">
        <f t="shared" si="2"/>
        <v>4257.3712097398902</v>
      </c>
      <c r="F36" s="4">
        <f t="shared" si="3"/>
        <v>160.12879026010978</v>
      </c>
      <c r="G36" s="4">
        <f t="shared" si="4"/>
        <v>25641.229470166229</v>
      </c>
    </row>
    <row r="37" spans="1:7" ht="15" thickBot="1" x14ac:dyDescent="0.4">
      <c r="A37" s="1">
        <v>45658</v>
      </c>
      <c r="B37" s="2">
        <v>4434.3</v>
      </c>
      <c r="C37">
        <f t="shared" si="0"/>
        <v>4434.752667754452</v>
      </c>
      <c r="D37">
        <f t="shared" si="1"/>
        <v>45.002227426762275</v>
      </c>
      <c r="E37" s="4">
        <f t="shared" si="2"/>
        <v>4464.5159319458726</v>
      </c>
      <c r="F37" s="4">
        <f t="shared" si="3"/>
        <v>30.215931945872399</v>
      </c>
      <c r="G37" s="4">
        <f t="shared" si="4"/>
        <v>913.00254335759212</v>
      </c>
    </row>
    <row r="38" spans="1:7" ht="15" thickBot="1" x14ac:dyDescent="0.4">
      <c r="A38" s="1">
        <v>45689</v>
      </c>
      <c r="E38" s="4">
        <f>$C$37+$D$37*F38</f>
        <v>4479.7548951812141</v>
      </c>
      <c r="F38">
        <v>1</v>
      </c>
      <c r="G38" s="4"/>
    </row>
    <row r="39" spans="1:7" ht="15" thickBot="1" x14ac:dyDescent="0.4">
      <c r="A39" s="1">
        <v>45717</v>
      </c>
      <c r="E39" s="4">
        <f t="shared" ref="E39:E49" si="5">$C$37+$D$37*F39</f>
        <v>4524.7571226079763</v>
      </c>
      <c r="F39">
        <v>2</v>
      </c>
      <c r="G39" s="4"/>
    </row>
    <row r="40" spans="1:7" ht="15" thickBot="1" x14ac:dyDescent="0.4">
      <c r="A40" s="1">
        <v>45748</v>
      </c>
      <c r="E40" s="4">
        <f t="shared" si="5"/>
        <v>4569.7593500347384</v>
      </c>
      <c r="F40">
        <v>3</v>
      </c>
      <c r="G40" s="4"/>
    </row>
    <row r="41" spans="1:7" ht="15" thickBot="1" x14ac:dyDescent="0.4">
      <c r="A41" s="1">
        <v>45778</v>
      </c>
      <c r="E41" s="4">
        <f t="shared" si="5"/>
        <v>4614.7615774615015</v>
      </c>
      <c r="F41">
        <v>4</v>
      </c>
      <c r="G41" s="4"/>
    </row>
    <row r="42" spans="1:7" ht="15" thickBot="1" x14ac:dyDescent="0.4">
      <c r="A42" s="1">
        <v>45809</v>
      </c>
      <c r="E42" s="4">
        <f t="shared" si="5"/>
        <v>4659.7638048882636</v>
      </c>
      <c r="F42">
        <v>5</v>
      </c>
      <c r="G42" s="4"/>
    </row>
    <row r="43" spans="1:7" ht="15" thickBot="1" x14ac:dyDescent="0.4">
      <c r="A43" s="1">
        <v>45839</v>
      </c>
      <c r="E43" s="4">
        <f t="shared" si="5"/>
        <v>4704.7660323150258</v>
      </c>
      <c r="F43">
        <v>6</v>
      </c>
      <c r="G43" s="4"/>
    </row>
    <row r="44" spans="1:7" ht="15" thickBot="1" x14ac:dyDescent="0.4">
      <c r="A44" s="1">
        <v>45870</v>
      </c>
      <c r="E44" s="4">
        <f t="shared" si="5"/>
        <v>4749.7682597417879</v>
      </c>
      <c r="F44">
        <v>7</v>
      </c>
      <c r="G44" s="4"/>
    </row>
    <row r="45" spans="1:7" ht="15" thickBot="1" x14ac:dyDescent="0.4">
      <c r="A45" s="1">
        <v>45901</v>
      </c>
      <c r="E45" s="4">
        <f t="shared" si="5"/>
        <v>4794.7704871685501</v>
      </c>
      <c r="F45">
        <v>8</v>
      </c>
      <c r="G45" s="4"/>
    </row>
    <row r="46" spans="1:7" ht="15" thickBot="1" x14ac:dyDescent="0.4">
      <c r="A46" s="1">
        <v>45931</v>
      </c>
      <c r="E46" s="4">
        <f t="shared" si="5"/>
        <v>4839.7727145953122</v>
      </c>
      <c r="F46">
        <v>9</v>
      </c>
      <c r="G46" s="4"/>
    </row>
    <row r="47" spans="1:7" ht="15" thickBot="1" x14ac:dyDescent="0.4">
      <c r="A47" s="1">
        <v>45962</v>
      </c>
      <c r="E47" s="4">
        <f t="shared" si="5"/>
        <v>4884.7749420220744</v>
      </c>
      <c r="F47">
        <v>10</v>
      </c>
      <c r="G47" s="4"/>
    </row>
    <row r="48" spans="1:7" ht="15" thickBot="1" x14ac:dyDescent="0.4">
      <c r="A48" s="1">
        <v>45992</v>
      </c>
      <c r="E48" s="4">
        <f t="shared" si="5"/>
        <v>4929.7771694488374</v>
      </c>
      <c r="F48">
        <v>11</v>
      </c>
      <c r="G48" s="4"/>
    </row>
    <row r="49" spans="1:13" ht="15" thickBot="1" x14ac:dyDescent="0.4">
      <c r="A49" s="1">
        <v>46023</v>
      </c>
      <c r="E49" s="4">
        <f t="shared" si="5"/>
        <v>4974.7793968755996</v>
      </c>
      <c r="F49">
        <v>12</v>
      </c>
      <c r="G49" s="4"/>
    </row>
    <row r="54" spans="1:13" x14ac:dyDescent="0.35">
      <c r="A54" s="3" t="s">
        <v>23</v>
      </c>
      <c r="H54" s="3" t="s">
        <v>24</v>
      </c>
      <c r="J54" s="4"/>
    </row>
    <row r="55" spans="1:13" x14ac:dyDescent="0.35">
      <c r="A55" t="s">
        <v>25</v>
      </c>
      <c r="D55" s="5">
        <v>4356.7588211739012</v>
      </c>
      <c r="H55" t="s">
        <v>26</v>
      </c>
      <c r="J55" s="4"/>
      <c r="M55" s="5">
        <v>0.98501890475320597</v>
      </c>
    </row>
    <row r="56" spans="1:13" x14ac:dyDescent="0.35">
      <c r="A56" t="s">
        <v>27</v>
      </c>
      <c r="D56" s="5">
        <v>4668.8476853660231</v>
      </c>
      <c r="H56" t="s">
        <v>28</v>
      </c>
      <c r="J56" s="4"/>
      <c r="M56" s="5">
        <v>0.14825689646714471</v>
      </c>
    </row>
    <row r="57" spans="1:13" x14ac:dyDescent="0.35">
      <c r="A57" t="s">
        <v>29</v>
      </c>
      <c r="D57" s="5">
        <v>4896.6129143485841</v>
      </c>
      <c r="H57" t="s">
        <v>30</v>
      </c>
      <c r="J57" s="4"/>
      <c r="M57" s="5">
        <v>10770.173774320197</v>
      </c>
    </row>
    <row r="58" spans="1:13" x14ac:dyDescent="0.35">
      <c r="A58" t="s">
        <v>31</v>
      </c>
      <c r="D58" s="5">
        <v>14835.264295655606</v>
      </c>
      <c r="H58" t="s">
        <v>32</v>
      </c>
      <c r="J58" s="4"/>
      <c r="M58" s="5">
        <v>4704.7660323150258</v>
      </c>
    </row>
    <row r="59" spans="1:13" x14ac:dyDescent="0.35">
      <c r="A59" t="s">
        <v>33</v>
      </c>
      <c r="D59" s="5">
        <v>97.752701487008153</v>
      </c>
      <c r="H59" t="s">
        <v>34</v>
      </c>
      <c r="J59" s="4"/>
      <c r="M59" s="5">
        <v>4929.7771694488374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BB7D-F968-41A6-97C7-47C9CB49A2A5}">
  <dimension ref="A1:Y63"/>
  <sheetViews>
    <sheetView topLeftCell="A42" workbookViewId="0">
      <selection activeCell="F61" sqref="F61"/>
    </sheetView>
  </sheetViews>
  <sheetFormatPr defaultRowHeight="14.5" x14ac:dyDescent="0.35"/>
  <cols>
    <col min="2" max="2" width="12" bestFit="1" customWidth="1"/>
    <col min="6" max="6" width="11.81640625" bestFit="1" customWidth="1"/>
  </cols>
  <sheetData>
    <row r="1" spans="1:25" x14ac:dyDescent="0.35">
      <c r="A1" s="3" t="s">
        <v>0</v>
      </c>
      <c r="B1" s="3" t="s">
        <v>1</v>
      </c>
      <c r="C1" t="s">
        <v>12</v>
      </c>
      <c r="D1" t="s">
        <v>4</v>
      </c>
      <c r="E1" t="s">
        <v>13</v>
      </c>
      <c r="F1" t="s">
        <v>21</v>
      </c>
      <c r="H1" t="s">
        <v>22</v>
      </c>
      <c r="J1" t="s">
        <v>19</v>
      </c>
      <c r="O1" t="s">
        <v>5</v>
      </c>
      <c r="P1">
        <v>0.5</v>
      </c>
    </row>
    <row r="2" spans="1:25" x14ac:dyDescent="0.35">
      <c r="A2" s="3"/>
      <c r="B2" s="3"/>
      <c r="P2">
        <v>0</v>
      </c>
    </row>
    <row r="3" spans="1:25" ht="15" thickBot="1" x14ac:dyDescent="0.4">
      <c r="A3" s="1">
        <v>44593</v>
      </c>
      <c r="B3" s="2">
        <v>3048.2</v>
      </c>
      <c r="E3">
        <f>B3/$C$14</f>
        <v>0.82460486894340912</v>
      </c>
      <c r="O3" t="s">
        <v>6</v>
      </c>
      <c r="P3">
        <v>0.2</v>
      </c>
    </row>
    <row r="4" spans="1:25" ht="15" thickBot="1" x14ac:dyDescent="0.4">
      <c r="A4" s="1">
        <v>44621</v>
      </c>
      <c r="B4" s="2">
        <v>3580.7</v>
      </c>
      <c r="E4">
        <f t="shared" ref="E4:E14" si="0">B4/$C$14</f>
        <v>0.96865778302790662</v>
      </c>
      <c r="O4" t="s">
        <v>14</v>
      </c>
      <c r="P4">
        <v>0.1</v>
      </c>
    </row>
    <row r="5" spans="1:25" ht="15" thickBot="1" x14ac:dyDescent="0.4">
      <c r="A5" s="1">
        <v>44652</v>
      </c>
      <c r="B5" s="2">
        <v>3246.9</v>
      </c>
      <c r="E5">
        <f t="shared" si="0"/>
        <v>0.87835757134451653</v>
      </c>
      <c r="V5" t="s">
        <v>15</v>
      </c>
      <c r="W5" t="s">
        <v>16</v>
      </c>
      <c r="X5" t="s">
        <v>17</v>
      </c>
      <c r="Y5" t="s">
        <v>18</v>
      </c>
    </row>
    <row r="6" spans="1:25" ht="15" thickBot="1" x14ac:dyDescent="0.4">
      <c r="A6" s="1">
        <v>44682</v>
      </c>
      <c r="B6" s="2">
        <v>3505.4</v>
      </c>
      <c r="E6">
        <f t="shared" si="0"/>
        <v>0.94828748362778903</v>
      </c>
      <c r="V6" s="2">
        <v>3048.2</v>
      </c>
      <c r="W6" s="2">
        <v>3246.8</v>
      </c>
      <c r="X6" s="4">
        <f>W6-V6</f>
        <v>198.60000000000036</v>
      </c>
      <c r="Y6">
        <f>X6/12</f>
        <v>16.550000000000029</v>
      </c>
    </row>
    <row r="7" spans="1:25" ht="15" thickBot="1" x14ac:dyDescent="0.4">
      <c r="A7" s="1">
        <v>44713</v>
      </c>
      <c r="B7" s="2">
        <v>3544.4</v>
      </c>
      <c r="E7">
        <f t="shared" si="0"/>
        <v>0.95883783789876631</v>
      </c>
      <c r="V7" s="2">
        <v>3580.7</v>
      </c>
      <c r="W7" s="2">
        <v>3620</v>
      </c>
      <c r="X7" s="4">
        <f t="shared" ref="X7:X17" si="1">W7-V7</f>
        <v>39.300000000000182</v>
      </c>
      <c r="Y7">
        <f t="shared" ref="Y7:Y17" si="2">X7/12</f>
        <v>3.275000000000015</v>
      </c>
    </row>
    <row r="8" spans="1:25" ht="15" thickBot="1" x14ac:dyDescent="0.4">
      <c r="A8" s="1">
        <v>44743</v>
      </c>
      <c r="B8" s="2">
        <v>3584</v>
      </c>
      <c r="E8">
        <f t="shared" si="0"/>
        <v>0.96955050531237397</v>
      </c>
      <c r="V8" s="2">
        <v>3246.9</v>
      </c>
      <c r="W8" s="2">
        <v>3357.8</v>
      </c>
      <c r="X8" s="4">
        <f t="shared" si="1"/>
        <v>110.90000000000009</v>
      </c>
      <c r="Y8">
        <f t="shared" si="2"/>
        <v>9.2416666666666742</v>
      </c>
    </row>
    <row r="9" spans="1:25" ht="15" thickBot="1" x14ac:dyDescent="0.4">
      <c r="A9" s="1">
        <v>44774</v>
      </c>
      <c r="B9" s="2">
        <v>3605.2</v>
      </c>
      <c r="E9">
        <f t="shared" si="0"/>
        <v>0.97528556968531543</v>
      </c>
      <c r="V9" s="2">
        <v>3505.4</v>
      </c>
      <c r="W9" s="2">
        <v>3779.9</v>
      </c>
      <c r="X9" s="4">
        <f t="shared" si="1"/>
        <v>274.5</v>
      </c>
      <c r="Y9">
        <f t="shared" si="2"/>
        <v>22.875</v>
      </c>
    </row>
    <row r="10" spans="1:25" ht="15" thickBot="1" x14ac:dyDescent="0.4">
      <c r="A10" s="1">
        <v>44805</v>
      </c>
      <c r="B10" s="2">
        <v>3588.5</v>
      </c>
      <c r="E10">
        <f t="shared" si="0"/>
        <v>0.97076785388210218</v>
      </c>
      <c r="V10" s="2">
        <v>3544.4</v>
      </c>
      <c r="W10" s="2">
        <v>3741.8</v>
      </c>
      <c r="X10" s="4">
        <f t="shared" si="1"/>
        <v>197.40000000000009</v>
      </c>
      <c r="Y10">
        <f t="shared" si="2"/>
        <v>16.450000000000006</v>
      </c>
    </row>
    <row r="11" spans="1:25" ht="15" thickBot="1" x14ac:dyDescent="0.4">
      <c r="A11" s="1">
        <v>44835</v>
      </c>
      <c r="B11" s="2">
        <v>3784.3</v>
      </c>
      <c r="E11">
        <f t="shared" si="0"/>
        <v>1.0237360427604958</v>
      </c>
      <c r="V11" s="2">
        <v>3584</v>
      </c>
      <c r="W11" s="2">
        <v>3597.4</v>
      </c>
      <c r="X11" s="4">
        <f t="shared" si="1"/>
        <v>13.400000000000091</v>
      </c>
      <c r="Y11">
        <f t="shared" si="2"/>
        <v>1.1166666666666742</v>
      </c>
    </row>
    <row r="12" spans="1:25" ht="15" thickBot="1" x14ac:dyDescent="0.4">
      <c r="A12" s="1">
        <v>44866</v>
      </c>
      <c r="B12" s="2">
        <v>4752.8999999999996</v>
      </c>
      <c r="E12">
        <f t="shared" si="0"/>
        <v>1.2857635593468699</v>
      </c>
      <c r="V12" s="2">
        <v>3605.2</v>
      </c>
      <c r="W12" s="2">
        <v>3664.8</v>
      </c>
      <c r="X12" s="4">
        <f t="shared" si="1"/>
        <v>59.600000000000364</v>
      </c>
      <c r="Y12">
        <f t="shared" si="2"/>
        <v>4.966666666666697</v>
      </c>
    </row>
    <row r="13" spans="1:25" ht="15" thickBot="1" x14ac:dyDescent="0.4">
      <c r="A13" s="1">
        <v>44896</v>
      </c>
      <c r="B13" s="2">
        <v>4576.7</v>
      </c>
      <c r="E13">
        <f t="shared" si="0"/>
        <v>1.2380975997944035</v>
      </c>
      <c r="V13" s="2">
        <v>3588.5</v>
      </c>
      <c r="W13" s="2">
        <v>3664.4</v>
      </c>
      <c r="X13" s="4">
        <f t="shared" si="1"/>
        <v>75.900000000000091</v>
      </c>
      <c r="Y13">
        <f t="shared" si="2"/>
        <v>6.3250000000000073</v>
      </c>
    </row>
    <row r="14" spans="1:25" ht="15" thickBot="1" x14ac:dyDescent="0.4">
      <c r="A14" s="1">
        <v>44927</v>
      </c>
      <c r="B14" s="2">
        <v>3541.5</v>
      </c>
      <c r="C14" s="4">
        <f>AVERAGE(B3:B14)</f>
        <v>3696.5583333333329</v>
      </c>
      <c r="D14" s="5">
        <f>Y19</f>
        <v>10.229166666666677</v>
      </c>
      <c r="E14">
        <f t="shared" si="0"/>
        <v>0.95805332437605262</v>
      </c>
      <c r="V14" s="2">
        <v>3784.3</v>
      </c>
      <c r="W14" s="2">
        <v>3881.4</v>
      </c>
      <c r="X14" s="4">
        <f t="shared" si="1"/>
        <v>97.099999999999909</v>
      </c>
      <c r="Y14">
        <f t="shared" si="2"/>
        <v>8.0916666666666597</v>
      </c>
    </row>
    <row r="15" spans="1:25" ht="15" thickBot="1" x14ac:dyDescent="0.4">
      <c r="A15" s="1">
        <v>44958</v>
      </c>
      <c r="B15" s="2">
        <v>3246.8</v>
      </c>
      <c r="C15">
        <f>$P$1*(B15/E3)+(1-$P$1)*(C14+D14)</f>
        <v>3822.0942284244247</v>
      </c>
      <c r="D15">
        <f>$P$3*(C15-C14)+(1-$P$3)*D14</f>
        <v>33.290512351551705</v>
      </c>
      <c r="E15">
        <f>$P$4*(B15/C15)+ (1-$P$4)*E3</f>
        <v>0.82709257552514637</v>
      </c>
      <c r="F15">
        <f>(C14+D14)*E3</f>
        <v>3056.6350206385669</v>
      </c>
      <c r="J15">
        <f>ABS(B15-F15)</f>
        <v>190.16497936143332</v>
      </c>
      <c r="K15">
        <f>J15^2</f>
        <v>36162.719375534361</v>
      </c>
      <c r="L15">
        <f>J15/B15*100</f>
        <v>5.8569970235750066</v>
      </c>
      <c r="V15" s="2">
        <v>4752.8999999999996</v>
      </c>
      <c r="W15" s="2">
        <v>4924</v>
      </c>
      <c r="X15" s="4">
        <f t="shared" si="1"/>
        <v>171.10000000000036</v>
      </c>
      <c r="Y15">
        <f t="shared" si="2"/>
        <v>14.258333333333363</v>
      </c>
    </row>
    <row r="16" spans="1:25" ht="15" thickBot="1" x14ac:dyDescent="0.4">
      <c r="A16" s="1">
        <v>44986</v>
      </c>
      <c r="B16" s="2">
        <v>3620</v>
      </c>
      <c r="C16">
        <f t="shared" ref="C16:C38" si="3">$P$1*(B16/E4)+(1-$P$1)*(C15+D15)</f>
        <v>3796.2573390626421</v>
      </c>
      <c r="D16">
        <f t="shared" ref="D16:D38" si="4">$P$3*(C16-C15)+(1-$P$3)*D15</f>
        <v>21.465032008884847</v>
      </c>
      <c r="E16">
        <f t="shared" ref="E16:E38" si="5">$P$4*(B16/C16)+ (1-$P$4)*E4</f>
        <v>0.96714908083139062</v>
      </c>
      <c r="F16">
        <f t="shared" ref="F16:F37" si="6">(C15+D15)*E4</f>
        <v>3734.5484357196779</v>
      </c>
      <c r="J16">
        <f t="shared" ref="J16:J38" si="7">ABS(B16-F16)</f>
        <v>114.54843571967785</v>
      </c>
      <c r="K16">
        <f t="shared" ref="K16:K38" si="8">J16^2</f>
        <v>13121.34412582517</v>
      </c>
      <c r="L16">
        <f t="shared" ref="L16:L38" si="9">J16/B16*100</f>
        <v>3.1643214287203825</v>
      </c>
      <c r="V16" s="2">
        <v>4576.7</v>
      </c>
      <c r="W16" s="2">
        <v>4679.3999999999996</v>
      </c>
      <c r="X16" s="4">
        <f t="shared" si="1"/>
        <v>102.69999999999982</v>
      </c>
      <c r="Y16">
        <f t="shared" si="2"/>
        <v>8.5583333333333176</v>
      </c>
    </row>
    <row r="17" spans="1:25" ht="15" thickBot="1" x14ac:dyDescent="0.4">
      <c r="A17" s="1">
        <v>45017</v>
      </c>
      <c r="B17" s="2">
        <v>3357.8</v>
      </c>
      <c r="C17">
        <f t="shared" si="3"/>
        <v>3820.2695399148124</v>
      </c>
      <c r="D17">
        <f t="shared" si="4"/>
        <v>21.974465777541937</v>
      </c>
      <c r="E17">
        <f t="shared" si="5"/>
        <v>0.87841613593048662</v>
      </c>
      <c r="F17">
        <f t="shared" si="6"/>
        <v>3353.3253499220154</v>
      </c>
      <c r="J17">
        <f t="shared" si="7"/>
        <v>4.4746500779847338</v>
      </c>
      <c r="K17">
        <f t="shared" si="8"/>
        <v>20.022493320408785</v>
      </c>
      <c r="L17">
        <f t="shared" si="9"/>
        <v>0.13326136392830823</v>
      </c>
      <c r="V17" s="2">
        <v>3541.5</v>
      </c>
      <c r="W17" s="2">
        <v>3674</v>
      </c>
      <c r="X17" s="4">
        <f t="shared" si="1"/>
        <v>132.5</v>
      </c>
      <c r="Y17">
        <f t="shared" si="2"/>
        <v>11.041666666666666</v>
      </c>
    </row>
    <row r="18" spans="1:25" ht="15" thickBot="1" x14ac:dyDescent="0.4">
      <c r="A18" s="1">
        <v>45047</v>
      </c>
      <c r="B18" s="2">
        <v>3779.9</v>
      </c>
      <c r="C18">
        <f t="shared" si="3"/>
        <v>3914.1357593599369</v>
      </c>
      <c r="D18">
        <f t="shared" si="4"/>
        <v>36.352816511058435</v>
      </c>
      <c r="E18">
        <f t="shared" si="5"/>
        <v>0.95002922316801819</v>
      </c>
      <c r="F18">
        <f t="shared" si="6"/>
        <v>3643.5518996419587</v>
      </c>
      <c r="J18">
        <f t="shared" si="7"/>
        <v>136.34810035804139</v>
      </c>
      <c r="K18">
        <f t="shared" si="8"/>
        <v>18590.804471246527</v>
      </c>
      <c r="L18">
        <f t="shared" si="9"/>
        <v>3.6071880303193575</v>
      </c>
    </row>
    <row r="19" spans="1:25" ht="15" thickBot="1" x14ac:dyDescent="0.4">
      <c r="A19" s="1">
        <v>45078</v>
      </c>
      <c r="B19" s="2">
        <v>3741.8</v>
      </c>
      <c r="C19">
        <f t="shared" si="3"/>
        <v>3926.4605687822796</v>
      </c>
      <c r="D19">
        <f t="shared" si="4"/>
        <v>31.547215093315291</v>
      </c>
      <c r="E19">
        <f t="shared" si="5"/>
        <v>0.95825107631126605</v>
      </c>
      <c r="F19">
        <f t="shared" si="6"/>
        <v>3787.8779247319217</v>
      </c>
      <c r="J19">
        <f t="shared" si="7"/>
        <v>46.077924731921485</v>
      </c>
      <c r="K19">
        <f t="shared" si="8"/>
        <v>2123.1751476006216</v>
      </c>
      <c r="L19">
        <f t="shared" si="9"/>
        <v>1.2314374026383421</v>
      </c>
      <c r="Y19">
        <f>AVERAGE(Y6:Y17)</f>
        <v>10.229166666666677</v>
      </c>
    </row>
    <row r="20" spans="1:25" ht="15" thickBot="1" x14ac:dyDescent="0.4">
      <c r="A20" s="1">
        <v>45108</v>
      </c>
      <c r="B20" s="2">
        <v>3597.4</v>
      </c>
      <c r="C20">
        <f t="shared" si="3"/>
        <v>3834.1934773637645</v>
      </c>
      <c r="D20">
        <f t="shared" si="4"/>
        <v>6.784353790949222</v>
      </c>
      <c r="E20">
        <f t="shared" si="5"/>
        <v>0.96641961939980425</v>
      </c>
      <c r="F20">
        <f t="shared" si="6"/>
        <v>3837.4884468868922</v>
      </c>
      <c r="J20">
        <f t="shared" si="7"/>
        <v>240.08844688689214</v>
      </c>
      <c r="K20">
        <f t="shared" si="8"/>
        <v>57642.462328560032</v>
      </c>
      <c r="L20">
        <f t="shared" si="9"/>
        <v>6.6739435950100665</v>
      </c>
    </row>
    <row r="21" spans="1:25" ht="15" thickBot="1" x14ac:dyDescent="0.4">
      <c r="A21" s="1">
        <v>45139</v>
      </c>
      <c r="B21" s="2">
        <v>3664.8</v>
      </c>
      <c r="C21">
        <f t="shared" si="3"/>
        <v>3799.323235448654</v>
      </c>
      <c r="D21">
        <f t="shared" si="4"/>
        <v>-1.5465653502627132</v>
      </c>
      <c r="E21">
        <f t="shared" si="5"/>
        <v>0.97421629698632117</v>
      </c>
      <c r="F21">
        <f t="shared" si="6"/>
        <v>3746.0502522063925</v>
      </c>
      <c r="J21">
        <f t="shared" si="7"/>
        <v>81.250252206392361</v>
      </c>
      <c r="K21">
        <f t="shared" si="8"/>
        <v>6601.6034836023664</v>
      </c>
      <c r="L21">
        <f t="shared" si="9"/>
        <v>2.2170446465398483</v>
      </c>
    </row>
    <row r="22" spans="1:25" ht="15" thickBot="1" x14ac:dyDescent="0.4">
      <c r="A22" s="1">
        <v>45170</v>
      </c>
      <c r="B22" s="2">
        <v>3664.4</v>
      </c>
      <c r="C22">
        <f t="shared" si="3"/>
        <v>3786.2602671471004</v>
      </c>
      <c r="D22">
        <f t="shared" si="4"/>
        <v>-3.8498459405208925</v>
      </c>
      <c r="E22">
        <f t="shared" si="5"/>
        <v>0.97047258221590238</v>
      </c>
      <c r="F22">
        <f t="shared" si="6"/>
        <v>3686.7595075549316</v>
      </c>
      <c r="J22">
        <f t="shared" si="7"/>
        <v>22.359507554931497</v>
      </c>
      <c r="K22">
        <f t="shared" si="8"/>
        <v>499.94757809903871</v>
      </c>
      <c r="L22">
        <f t="shared" si="9"/>
        <v>0.61018195488842641</v>
      </c>
    </row>
    <row r="23" spans="1:25" ht="15" thickBot="1" x14ac:dyDescent="0.4">
      <c r="A23" s="1">
        <v>45200</v>
      </c>
      <c r="B23" s="2">
        <v>3881.4</v>
      </c>
      <c r="C23">
        <f t="shared" si="3"/>
        <v>3786.9087112507013</v>
      </c>
      <c r="D23">
        <f t="shared" si="4"/>
        <v>-2.9501879316965298</v>
      </c>
      <c r="E23">
        <f t="shared" si="5"/>
        <v>1.0238576475310379</v>
      </c>
      <c r="F23">
        <f t="shared" si="6"/>
        <v>3872.1898767020839</v>
      </c>
      <c r="J23">
        <f t="shared" si="7"/>
        <v>9.2101232979161978</v>
      </c>
      <c r="K23">
        <f t="shared" si="8"/>
        <v>84.826371162818745</v>
      </c>
      <c r="L23">
        <f t="shared" si="9"/>
        <v>0.23728869217076823</v>
      </c>
    </row>
    <row r="24" spans="1:25" ht="15" thickBot="1" x14ac:dyDescent="0.4">
      <c r="A24" s="1">
        <v>45231</v>
      </c>
      <c r="B24" s="2">
        <v>4924</v>
      </c>
      <c r="C24">
        <f t="shared" si="3"/>
        <v>3806.7947672806322</v>
      </c>
      <c r="D24">
        <f t="shared" si="4"/>
        <v>1.6170608606289445</v>
      </c>
      <c r="E24">
        <f t="shared" si="5"/>
        <v>1.2865348646604788</v>
      </c>
      <c r="F24">
        <f t="shared" si="6"/>
        <v>4865.2759793635696</v>
      </c>
      <c r="J24">
        <f t="shared" si="7"/>
        <v>58.724020636430396</v>
      </c>
      <c r="K24">
        <f t="shared" si="8"/>
        <v>3448.5105997079031</v>
      </c>
      <c r="L24">
        <f t="shared" si="9"/>
        <v>1.1926080551671485</v>
      </c>
    </row>
    <row r="25" spans="1:25" ht="15" thickBot="1" x14ac:dyDescent="0.4">
      <c r="A25" s="1">
        <v>45261</v>
      </c>
      <c r="B25" s="2">
        <v>4679.3999999999996</v>
      </c>
      <c r="C25">
        <f t="shared" si="3"/>
        <v>3793.9600016227969</v>
      </c>
      <c r="D25">
        <f t="shared" si="4"/>
        <v>-1.2733044430639053</v>
      </c>
      <c r="E25">
        <f t="shared" si="5"/>
        <v>1.2376259877658766</v>
      </c>
      <c r="F25">
        <f t="shared" si="6"/>
        <v>4715.1855434503113</v>
      </c>
      <c r="J25">
        <f t="shared" si="7"/>
        <v>35.785543450311707</v>
      </c>
      <c r="K25">
        <f t="shared" si="8"/>
        <v>1280.6051200341471</v>
      </c>
      <c r="L25">
        <f t="shared" si="9"/>
        <v>0.76474640873427591</v>
      </c>
    </row>
    <row r="26" spans="1:25" ht="15" thickBot="1" x14ac:dyDescent="0.4">
      <c r="A26" s="1">
        <v>45292</v>
      </c>
      <c r="B26" s="2">
        <v>3674</v>
      </c>
      <c r="C26">
        <f t="shared" si="3"/>
        <v>3813.7731546983891</v>
      </c>
      <c r="D26">
        <f t="shared" si="4"/>
        <v>2.9439870606673271</v>
      </c>
      <c r="E26">
        <f t="shared" si="5"/>
        <v>0.95858303471554085</v>
      </c>
      <c r="F26">
        <f t="shared" si="6"/>
        <v>3633.5960985498746</v>
      </c>
      <c r="J26">
        <f t="shared" si="7"/>
        <v>40.403901450125431</v>
      </c>
      <c r="K26">
        <f t="shared" si="8"/>
        <v>1632.4752523914478</v>
      </c>
      <c r="L26">
        <f t="shared" si="9"/>
        <v>1.0997251347339529</v>
      </c>
    </row>
    <row r="27" spans="1:25" ht="15" thickBot="1" x14ac:dyDescent="0.4">
      <c r="A27" s="1">
        <v>45323</v>
      </c>
      <c r="B27" s="2">
        <v>3515</v>
      </c>
      <c r="C27">
        <f t="shared" si="3"/>
        <v>4033.2718538746149</v>
      </c>
      <c r="D27">
        <f t="shared" si="4"/>
        <v>46.254929483779009</v>
      </c>
      <c r="E27">
        <f t="shared" si="5"/>
        <v>0.83153340671815656</v>
      </c>
      <c r="F27">
        <f t="shared" si="6"/>
        <v>3156.7784108284732</v>
      </c>
      <c r="J27">
        <f t="shared" si="7"/>
        <v>358.22158917152683</v>
      </c>
      <c r="K27">
        <f t="shared" si="8"/>
        <v>128322.70694857415</v>
      </c>
      <c r="L27">
        <f t="shared" si="9"/>
        <v>10.191225865477293</v>
      </c>
    </row>
    <row r="28" spans="1:25" ht="15" thickBot="1" x14ac:dyDescent="0.4">
      <c r="A28" s="1">
        <v>45352</v>
      </c>
      <c r="B28" s="2">
        <v>3701</v>
      </c>
      <c r="C28">
        <f t="shared" si="3"/>
        <v>3953.1188781045721</v>
      </c>
      <c r="D28">
        <f t="shared" si="4"/>
        <v>20.973348433014657</v>
      </c>
      <c r="E28">
        <f t="shared" si="5"/>
        <v>0.96405645212110314</v>
      </c>
      <c r="F28">
        <f t="shared" si="6"/>
        <v>3945.5105787521102</v>
      </c>
      <c r="J28">
        <f t="shared" si="7"/>
        <v>244.51057875211018</v>
      </c>
      <c r="K28">
        <f t="shared" si="8"/>
        <v>59785.423121691871</v>
      </c>
      <c r="L28">
        <f t="shared" si="9"/>
        <v>6.6066084504758216</v>
      </c>
    </row>
    <row r="29" spans="1:25" ht="15" thickBot="1" x14ac:dyDescent="0.4">
      <c r="A29" s="1">
        <v>45383</v>
      </c>
      <c r="B29" s="2">
        <v>3745.3</v>
      </c>
      <c r="C29">
        <f t="shared" si="3"/>
        <v>4118.8944746565812</v>
      </c>
      <c r="D29">
        <f t="shared" si="4"/>
        <v>49.933798056813544</v>
      </c>
      <c r="E29">
        <f t="shared" si="5"/>
        <v>0.88150426144691763</v>
      </c>
      <c r="F29">
        <f t="shared" si="6"/>
        <v>3490.906737466531</v>
      </c>
      <c r="J29">
        <f t="shared" si="7"/>
        <v>254.39326253346917</v>
      </c>
      <c r="K29">
        <f t="shared" si="8"/>
        <v>64715.932022422567</v>
      </c>
      <c r="L29">
        <f t="shared" si="9"/>
        <v>6.7923333920772473</v>
      </c>
    </row>
    <row r="30" spans="1:25" ht="15" thickBot="1" x14ac:dyDescent="0.4">
      <c r="A30" s="1">
        <v>45413</v>
      </c>
      <c r="B30" s="2">
        <v>4046.5</v>
      </c>
      <c r="C30">
        <f t="shared" si="3"/>
        <v>4214.0854671534089</v>
      </c>
      <c r="D30">
        <f t="shared" si="4"/>
        <v>58.985236944816371</v>
      </c>
      <c r="E30">
        <f t="shared" si="5"/>
        <v>0.95104950758350382</v>
      </c>
      <c r="F30">
        <f t="shared" si="6"/>
        <v>3960.5086854467772</v>
      </c>
      <c r="J30">
        <f t="shared" si="7"/>
        <v>85.991314553222765</v>
      </c>
      <c r="K30">
        <f t="shared" si="8"/>
        <v>7394.5061785913012</v>
      </c>
      <c r="L30">
        <f t="shared" si="9"/>
        <v>2.125078822518788</v>
      </c>
    </row>
    <row r="31" spans="1:25" ht="15" thickBot="1" x14ac:dyDescent="0.4">
      <c r="A31" s="1">
        <v>45444</v>
      </c>
      <c r="B31" s="2">
        <v>4046.9</v>
      </c>
      <c r="C31">
        <f t="shared" si="3"/>
        <v>4248.1426854727888</v>
      </c>
      <c r="D31">
        <f t="shared" si="4"/>
        <v>53.999633219729077</v>
      </c>
      <c r="E31">
        <f t="shared" si="5"/>
        <v>0.95768877644408368</v>
      </c>
      <c r="F31">
        <f t="shared" si="6"/>
        <v>4094.6746013562638</v>
      </c>
      <c r="J31">
        <f t="shared" si="7"/>
        <v>47.774601356263702</v>
      </c>
      <c r="K31">
        <f t="shared" si="8"/>
        <v>2282.4125347499134</v>
      </c>
      <c r="L31">
        <f t="shared" si="9"/>
        <v>1.1805233970758779</v>
      </c>
    </row>
    <row r="32" spans="1:25" ht="15" thickBot="1" x14ac:dyDescent="0.4">
      <c r="A32" s="1">
        <v>45474</v>
      </c>
      <c r="B32" s="2">
        <v>4113</v>
      </c>
      <c r="C32">
        <f t="shared" si="3"/>
        <v>4279.0287863625554</v>
      </c>
      <c r="D32">
        <f t="shared" si="4"/>
        <v>49.376926753736583</v>
      </c>
      <c r="E32">
        <f t="shared" si="5"/>
        <v>0.96589759974925882</v>
      </c>
      <c r="F32">
        <f t="shared" si="6"/>
        <v>4157.6747422346143</v>
      </c>
      <c r="J32">
        <f t="shared" si="7"/>
        <v>44.674742234614314</v>
      </c>
      <c r="K32">
        <f t="shared" si="8"/>
        <v>1995.832593729232</v>
      </c>
      <c r="L32">
        <f t="shared" si="9"/>
        <v>1.0861838617703456</v>
      </c>
    </row>
    <row r="33" spans="1:14" ht="15" thickBot="1" x14ac:dyDescent="0.4">
      <c r="A33" s="1">
        <v>45505</v>
      </c>
      <c r="B33" s="2">
        <v>4102.8999999999996</v>
      </c>
      <c r="C33">
        <f t="shared" si="3"/>
        <v>4269.9467312459692</v>
      </c>
      <c r="D33">
        <f t="shared" si="4"/>
        <v>37.685130379672039</v>
      </c>
      <c r="E33">
        <f t="shared" si="5"/>
        <v>0.97288251704882123</v>
      </c>
      <c r="F33">
        <f t="shared" si="6"/>
        <v>4216.8033856865904</v>
      </c>
      <c r="J33">
        <f t="shared" si="7"/>
        <v>113.90338568659081</v>
      </c>
      <c r="K33">
        <f t="shared" si="8"/>
        <v>12973.98127086826</v>
      </c>
      <c r="L33">
        <f t="shared" si="9"/>
        <v>2.7761677273779721</v>
      </c>
    </row>
    <row r="34" spans="1:14" ht="15" thickBot="1" x14ac:dyDescent="0.4">
      <c r="A34" s="1">
        <v>45536</v>
      </c>
      <c r="B34" s="2">
        <v>4031.6</v>
      </c>
      <c r="C34">
        <f t="shared" si="3"/>
        <v>4230.9482856468721</v>
      </c>
      <c r="D34">
        <f t="shared" si="4"/>
        <v>22.34841518391822</v>
      </c>
      <c r="E34">
        <f t="shared" si="5"/>
        <v>0.96871365483203142</v>
      </c>
      <c r="F34">
        <f t="shared" si="6"/>
        <v>4180.4386159873311</v>
      </c>
      <c r="J34">
        <f t="shared" si="7"/>
        <v>148.8386159873312</v>
      </c>
      <c r="K34">
        <f t="shared" si="8"/>
        <v>22152.93360902424</v>
      </c>
      <c r="L34">
        <f t="shared" si="9"/>
        <v>3.6918001782749079</v>
      </c>
    </row>
    <row r="35" spans="1:14" ht="15" thickBot="1" x14ac:dyDescent="0.4">
      <c r="A35" s="1">
        <v>45566</v>
      </c>
      <c r="B35" s="2">
        <v>4333.8999999999996</v>
      </c>
      <c r="C35">
        <f t="shared" si="3"/>
        <v>4243.1046812592876</v>
      </c>
      <c r="D35">
        <f t="shared" si="4"/>
        <v>20.310011269617679</v>
      </c>
      <c r="E35">
        <f t="shared" si="5"/>
        <v>1.0236117149423805</v>
      </c>
      <c r="F35">
        <f t="shared" si="6"/>
        <v>4354.7703543641383</v>
      </c>
      <c r="J35">
        <f t="shared" si="7"/>
        <v>20.87035436413862</v>
      </c>
      <c r="K35">
        <f t="shared" si="8"/>
        <v>435.57169128471998</v>
      </c>
      <c r="L35">
        <f t="shared" si="9"/>
        <v>0.48156058894156817</v>
      </c>
    </row>
    <row r="36" spans="1:14" ht="15" thickBot="1" x14ac:dyDescent="0.4">
      <c r="A36" s="1">
        <v>45597</v>
      </c>
      <c r="B36" s="2">
        <v>5278.4</v>
      </c>
      <c r="C36">
        <f t="shared" si="3"/>
        <v>4183.1091951342805</v>
      </c>
      <c r="D36">
        <f t="shared" si="4"/>
        <v>4.2489117906927198</v>
      </c>
      <c r="E36">
        <f t="shared" si="5"/>
        <v>1.2840650314000357</v>
      </c>
      <c r="F36">
        <f t="shared" si="6"/>
        <v>5485.0316444441723</v>
      </c>
      <c r="J36">
        <f t="shared" si="7"/>
        <v>206.63164444417271</v>
      </c>
      <c r="K36">
        <f t="shared" si="8"/>
        <v>42696.636485703013</v>
      </c>
      <c r="L36">
        <f t="shared" si="9"/>
        <v>3.914664376405212</v>
      </c>
    </row>
    <row r="37" spans="1:14" ht="15" thickBot="1" x14ac:dyDescent="0.4">
      <c r="A37" s="1">
        <v>45627</v>
      </c>
      <c r="B37" s="2">
        <v>5349.4</v>
      </c>
      <c r="C37">
        <f t="shared" si="3"/>
        <v>4254.8327674599468</v>
      </c>
      <c r="D37">
        <f t="shared" si="4"/>
        <v>17.743843897687434</v>
      </c>
      <c r="E37">
        <f t="shared" si="5"/>
        <v>1.2395886593432985</v>
      </c>
      <c r="F37">
        <f t="shared" si="6"/>
        <v>5182.3832132124708</v>
      </c>
      <c r="J37">
        <f t="shared" si="7"/>
        <v>167.01678678752887</v>
      </c>
      <c r="K37">
        <f t="shared" si="8"/>
        <v>27894.607068830879</v>
      </c>
      <c r="L37">
        <f t="shared" si="9"/>
        <v>3.1221592475329731</v>
      </c>
    </row>
    <row r="38" spans="1:14" ht="15" thickBot="1" x14ac:dyDescent="0.4">
      <c r="A38" s="1">
        <v>45658</v>
      </c>
      <c r="B38" s="2">
        <v>4134</v>
      </c>
      <c r="C38">
        <f t="shared" si="3"/>
        <v>4292.5960277462973</v>
      </c>
      <c r="D38">
        <f t="shared" si="4"/>
        <v>21.747727175420046</v>
      </c>
      <c r="E38">
        <f t="shared" si="5"/>
        <v>0.95903008989592675</v>
      </c>
      <c r="F38">
        <f>(C37+D37)*E26</f>
        <v>4095.6194541698433</v>
      </c>
      <c r="H38">
        <v>4102.2338485814771</v>
      </c>
      <c r="J38">
        <f t="shared" si="7"/>
        <v>38.380545830156734</v>
      </c>
      <c r="K38">
        <f t="shared" si="8"/>
        <v>1473.0662982207614</v>
      </c>
      <c r="L38">
        <f t="shared" si="9"/>
        <v>0.9284118488184987</v>
      </c>
      <c r="N38">
        <f>(K37+L37)*M26</f>
        <v>0</v>
      </c>
    </row>
    <row r="39" spans="1:14" ht="15" thickBot="1" x14ac:dyDescent="0.4">
      <c r="A39" s="1">
        <v>45689</v>
      </c>
      <c r="G39">
        <v>1</v>
      </c>
      <c r="H39">
        <v>3800.7706781201068</v>
      </c>
      <c r="N39">
        <f>($C$38+$D$38*O39)*M27</f>
        <v>0</v>
      </c>
    </row>
    <row r="40" spans="1:14" ht="15" thickBot="1" x14ac:dyDescent="0.4">
      <c r="A40" s="1">
        <v>45717</v>
      </c>
      <c r="G40">
        <v>2</v>
      </c>
      <c r="H40">
        <v>4065.9116149662273</v>
      </c>
      <c r="J40" t="s">
        <v>10</v>
      </c>
      <c r="K40" t="s">
        <v>11</v>
      </c>
      <c r="L40" t="s">
        <v>20</v>
      </c>
      <c r="N40">
        <f t="shared" ref="N40:N49" si="10">($C$38+$D$38*O40)*M28</f>
        <v>0</v>
      </c>
    </row>
    <row r="41" spans="1:14" ht="15" thickBot="1" x14ac:dyDescent="0.4">
      <c r="A41" s="1">
        <v>45748</v>
      </c>
      <c r="G41">
        <v>3</v>
      </c>
      <c r="H41">
        <v>3962.3650215666275</v>
      </c>
      <c r="J41">
        <f>AVERAGE(J15:J38)</f>
        <v>112.94347114304935</v>
      </c>
      <c r="K41">
        <f>AVERAGE(K15:K38)</f>
        <v>21388.837757115652</v>
      </c>
      <c r="L41">
        <f>AVERAGE(L15:L38)</f>
        <v>2.9035608955488499</v>
      </c>
      <c r="N41">
        <f t="shared" si="10"/>
        <v>0</v>
      </c>
    </row>
    <row r="42" spans="1:14" ht="15" thickBot="1" x14ac:dyDescent="0.4">
      <c r="A42" s="1">
        <v>45778</v>
      </c>
      <c r="G42">
        <v>4</v>
      </c>
      <c r="H42">
        <v>4249.1746762003741</v>
      </c>
      <c r="N42">
        <f t="shared" si="10"/>
        <v>0</v>
      </c>
    </row>
    <row r="43" spans="1:14" ht="15" thickBot="1" x14ac:dyDescent="0.4">
      <c r="A43" s="1">
        <v>45809</v>
      </c>
      <c r="G43">
        <v>5</v>
      </c>
      <c r="H43">
        <v>4209.8881040856131</v>
      </c>
      <c r="N43">
        <f t="shared" si="10"/>
        <v>0</v>
      </c>
    </row>
    <row r="44" spans="1:14" ht="15" thickBot="1" x14ac:dyDescent="0.4">
      <c r="A44" s="1">
        <v>45839</v>
      </c>
      <c r="G44">
        <v>6</v>
      </c>
      <c r="H44">
        <v>4194.5526004060575</v>
      </c>
      <c r="N44">
        <f t="shared" si="10"/>
        <v>0</v>
      </c>
    </row>
    <row r="45" spans="1:14" ht="15" thickBot="1" x14ac:dyDescent="0.4">
      <c r="A45" s="1">
        <v>45870</v>
      </c>
      <c r="G45">
        <v>7</v>
      </c>
      <c r="H45">
        <v>4198.2432521044821</v>
      </c>
      <c r="N45">
        <f t="shared" si="10"/>
        <v>0</v>
      </c>
    </row>
    <row r="46" spans="1:14" ht="15" thickBot="1" x14ac:dyDescent="0.4">
      <c r="A46" s="1">
        <v>45901</v>
      </c>
      <c r="G46">
        <v>8</v>
      </c>
      <c r="H46">
        <v>4168.7287099790974</v>
      </c>
      <c r="N46">
        <f t="shared" si="10"/>
        <v>0</v>
      </c>
    </row>
    <row r="47" spans="1:14" ht="15" thickBot="1" x14ac:dyDescent="0.4">
      <c r="A47" s="1">
        <v>45931</v>
      </c>
      <c r="G47">
        <v>9</v>
      </c>
      <c r="H47">
        <v>4475.6321632103327</v>
      </c>
      <c r="N47">
        <f t="shared" si="10"/>
        <v>0</v>
      </c>
    </row>
    <row r="48" spans="1:14" ht="15" thickBot="1" x14ac:dyDescent="0.4">
      <c r="A48" s="1">
        <v>45962</v>
      </c>
      <c r="G48">
        <v>10</v>
      </c>
      <c r="H48">
        <v>5547.5672722854806</v>
      </c>
      <c r="N48">
        <f t="shared" si="10"/>
        <v>0</v>
      </c>
    </row>
    <row r="49" spans="1:14" ht="15" thickBot="1" x14ac:dyDescent="0.4">
      <c r="A49" s="1">
        <v>45992</v>
      </c>
      <c r="G49">
        <v>11</v>
      </c>
      <c r="H49">
        <v>5516.3028251359001</v>
      </c>
      <c r="N49">
        <f t="shared" si="10"/>
        <v>0</v>
      </c>
    </row>
    <row r="50" spans="1:14" ht="15" thickBot="1" x14ac:dyDescent="0.4">
      <c r="A50" s="1">
        <v>46023</v>
      </c>
      <c r="G50">
        <v>12</v>
      </c>
      <c r="H50">
        <v>4253.8501408866705</v>
      </c>
    </row>
    <row r="58" spans="1:14" x14ac:dyDescent="0.35">
      <c r="A58" s="3" t="s">
        <v>23</v>
      </c>
      <c r="H58" s="3" t="s">
        <v>24</v>
      </c>
      <c r="J58" s="4"/>
    </row>
    <row r="59" spans="1:14" x14ac:dyDescent="0.35">
      <c r="A59" t="s">
        <v>25</v>
      </c>
      <c r="D59" s="5">
        <v>4356.7588211739012</v>
      </c>
      <c r="H59" t="s">
        <v>26</v>
      </c>
      <c r="J59" s="4"/>
      <c r="M59" s="5">
        <v>0.98501890475320597</v>
      </c>
    </row>
    <row r="60" spans="1:14" x14ac:dyDescent="0.35">
      <c r="A60" t="s">
        <v>27</v>
      </c>
      <c r="D60" s="5">
        <v>4668.8476853660231</v>
      </c>
      <c r="H60" t="s">
        <v>28</v>
      </c>
      <c r="J60" s="4"/>
      <c r="M60" s="5">
        <v>0.14825689646714471</v>
      </c>
    </row>
    <row r="61" spans="1:14" x14ac:dyDescent="0.35">
      <c r="A61" t="s">
        <v>29</v>
      </c>
      <c r="D61" s="5">
        <v>4896.6129143485841</v>
      </c>
      <c r="H61" t="s">
        <v>30</v>
      </c>
      <c r="J61" s="4"/>
      <c r="M61" s="5">
        <v>10770.173774320197</v>
      </c>
    </row>
    <row r="62" spans="1:14" x14ac:dyDescent="0.35">
      <c r="A62" t="s">
        <v>31</v>
      </c>
      <c r="D62" s="5">
        <v>14835.264295655606</v>
      </c>
      <c r="H62" t="s">
        <v>32</v>
      </c>
      <c r="J62" s="4"/>
      <c r="M62" s="5">
        <v>4704.7660323150258</v>
      </c>
    </row>
    <row r="63" spans="1:14" x14ac:dyDescent="0.35">
      <c r="A63" t="s">
        <v>33</v>
      </c>
      <c r="D63" s="5">
        <v>97.752701487008153</v>
      </c>
      <c r="H63" t="s">
        <v>34</v>
      </c>
      <c r="J63" s="4"/>
      <c r="M63" s="5">
        <v>4929.7771694488374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D20B-CE35-4C69-8D35-3BDA0EC0A45D}">
  <dimension ref="A1:N50"/>
  <sheetViews>
    <sheetView tabSelected="1" workbookViewId="0">
      <selection activeCell="G63" sqref="G63"/>
    </sheetView>
  </sheetViews>
  <sheetFormatPr defaultRowHeight="14.5" x14ac:dyDescent="0.35"/>
  <cols>
    <col min="7" max="7" width="11.453125" bestFit="1" customWidth="1"/>
  </cols>
  <sheetData>
    <row r="1" spans="1:14" x14ac:dyDescent="0.35">
      <c r="A1" s="3" t="s">
        <v>0</v>
      </c>
      <c r="B1" s="3" t="s">
        <v>1</v>
      </c>
      <c r="C1" t="s">
        <v>3</v>
      </c>
      <c r="D1" t="s">
        <v>4</v>
      </c>
      <c r="E1" t="s">
        <v>37</v>
      </c>
      <c r="F1" t="s">
        <v>38</v>
      </c>
      <c r="G1" t="s">
        <v>39</v>
      </c>
      <c r="M1" t="s">
        <v>35</v>
      </c>
      <c r="N1">
        <v>1</v>
      </c>
    </row>
    <row r="2" spans="1:14" ht="15" thickBot="1" x14ac:dyDescent="0.4">
      <c r="A2" s="1">
        <v>44593</v>
      </c>
      <c r="B2" s="2">
        <v>3048.2</v>
      </c>
      <c r="C2" s="4">
        <f>B2</f>
        <v>3048.2</v>
      </c>
      <c r="D2" s="4">
        <f>B3-B2</f>
        <v>532.5</v>
      </c>
      <c r="M2" t="s">
        <v>36</v>
      </c>
      <c r="N2">
        <v>0.13312556906461079</v>
      </c>
    </row>
    <row r="3" spans="1:14" ht="15" thickBot="1" x14ac:dyDescent="0.4">
      <c r="A3" s="1">
        <v>44621</v>
      </c>
      <c r="B3" s="2">
        <v>3580.7</v>
      </c>
      <c r="C3">
        <f>$N$1*B3+(1-$N$1)*(C2+D2)</f>
        <v>3580.7</v>
      </c>
      <c r="D3">
        <f>$N$2*(C3-C2)+(1-$N$2)*D2</f>
        <v>532.5</v>
      </c>
      <c r="E3" s="4">
        <f>C2+D2</f>
        <v>3580.7</v>
      </c>
      <c r="F3" s="4">
        <f>ABS(B3-E3)</f>
        <v>0</v>
      </c>
      <c r="G3" s="4">
        <f>F3^2</f>
        <v>0</v>
      </c>
    </row>
    <row r="4" spans="1:14" ht="15" thickBot="1" x14ac:dyDescent="0.4">
      <c r="A4" s="1">
        <v>44652</v>
      </c>
      <c r="B4" s="2">
        <v>3246.9</v>
      </c>
      <c r="C4">
        <f t="shared" ref="C4:C37" si="0">$N$1*B4+(1-$N$1)*(C3+D3)</f>
        <v>3246.9</v>
      </c>
      <c r="D4">
        <f t="shared" ref="D4:D37" si="1">$N$2*(C4-C3)+(1-$N$2)*D3</f>
        <v>417.17331951932772</v>
      </c>
      <c r="E4" s="4">
        <f t="shared" ref="E4:E37" si="2">C3+D3</f>
        <v>4113.2</v>
      </c>
      <c r="F4" s="4">
        <f t="shared" ref="F4:F49" si="3">ABS(B4-E4)</f>
        <v>866.29999999999973</v>
      </c>
      <c r="G4" s="4">
        <f t="shared" ref="G4:G49" si="4">F4^2</f>
        <v>750475.68999999948</v>
      </c>
    </row>
    <row r="5" spans="1:14" ht="15" thickBot="1" x14ac:dyDescent="0.4">
      <c r="A5" s="1">
        <v>44682</v>
      </c>
      <c r="B5" s="2">
        <v>3505.4</v>
      </c>
      <c r="C5">
        <f t="shared" si="0"/>
        <v>3505.4</v>
      </c>
      <c r="D5">
        <f t="shared" si="1"/>
        <v>396.04984356294642</v>
      </c>
      <c r="E5" s="4">
        <f t="shared" si="2"/>
        <v>3664.0733195193279</v>
      </c>
      <c r="F5" s="4">
        <f t="shared" si="3"/>
        <v>158.67331951932783</v>
      </c>
      <c r="G5" s="4">
        <f t="shared" si="4"/>
        <v>25177.222327282703</v>
      </c>
    </row>
    <row r="6" spans="1:14" ht="15" thickBot="1" x14ac:dyDescent="0.4">
      <c r="A6" s="1">
        <v>44713</v>
      </c>
      <c r="B6" s="2">
        <v>3544.4</v>
      </c>
      <c r="C6">
        <f t="shared" si="0"/>
        <v>3544.4</v>
      </c>
      <c r="D6">
        <f t="shared" si="1"/>
        <v>348.51737995419893</v>
      </c>
      <c r="E6" s="4">
        <f t="shared" si="2"/>
        <v>3901.4498435629466</v>
      </c>
      <c r="F6" s="4">
        <f t="shared" si="3"/>
        <v>357.04984356294653</v>
      </c>
      <c r="G6" s="4">
        <f t="shared" si="4"/>
        <v>127484.5907883246</v>
      </c>
    </row>
    <row r="7" spans="1:14" ht="15" thickBot="1" x14ac:dyDescent="0.4">
      <c r="A7" s="1">
        <v>44743</v>
      </c>
      <c r="B7" s="2">
        <v>3584</v>
      </c>
      <c r="C7">
        <f t="shared" si="0"/>
        <v>3584</v>
      </c>
      <c r="D7">
        <f t="shared" si="1"/>
        <v>307.39257795384759</v>
      </c>
      <c r="E7" s="4">
        <f t="shared" si="2"/>
        <v>3892.9173799541991</v>
      </c>
      <c r="F7" s="4">
        <f t="shared" si="3"/>
        <v>308.91737995419908</v>
      </c>
      <c r="G7" s="4">
        <f t="shared" si="4"/>
        <v>95429.947637766993</v>
      </c>
    </row>
    <row r="8" spans="1:14" ht="15" thickBot="1" x14ac:dyDescent="0.4">
      <c r="A8" s="1">
        <v>44774</v>
      </c>
      <c r="B8" s="2">
        <v>3605.2</v>
      </c>
      <c r="C8">
        <f t="shared" si="0"/>
        <v>3605.2</v>
      </c>
      <c r="D8">
        <f t="shared" si="1"/>
        <v>269.29302815167358</v>
      </c>
      <c r="E8" s="4">
        <f t="shared" si="2"/>
        <v>3891.3925779538476</v>
      </c>
      <c r="F8" s="4">
        <f t="shared" si="3"/>
        <v>286.19257795384783</v>
      </c>
      <c r="G8" s="4">
        <f t="shared" si="4"/>
        <v>81906.191675869268</v>
      </c>
    </row>
    <row r="9" spans="1:14" ht="15" thickBot="1" x14ac:dyDescent="0.4">
      <c r="A9" s="1">
        <v>44805</v>
      </c>
      <c r="B9" s="2">
        <v>3588.5</v>
      </c>
      <c r="C9">
        <f t="shared" si="0"/>
        <v>3588.5</v>
      </c>
      <c r="D9">
        <f t="shared" si="1"/>
        <v>231.2200435304708</v>
      </c>
      <c r="E9" s="4">
        <f t="shared" si="2"/>
        <v>3874.4930281516736</v>
      </c>
      <c r="F9" s="4">
        <f t="shared" si="3"/>
        <v>285.99302815167357</v>
      </c>
      <c r="G9" s="4">
        <f t="shared" si="4"/>
        <v>81792.012151363946</v>
      </c>
    </row>
    <row r="10" spans="1:14" ht="15" thickBot="1" x14ac:dyDescent="0.4">
      <c r="A10" s="1">
        <v>44835</v>
      </c>
      <c r="B10" s="2">
        <v>3784.3</v>
      </c>
      <c r="C10">
        <f t="shared" si="0"/>
        <v>3784.3</v>
      </c>
      <c r="D10">
        <f t="shared" si="1"/>
        <v>226.50473007918362</v>
      </c>
      <c r="E10" s="4">
        <f t="shared" si="2"/>
        <v>3819.7200435304708</v>
      </c>
      <c r="F10" s="4">
        <f t="shared" si="3"/>
        <v>35.420043530470593</v>
      </c>
      <c r="G10" s="4">
        <f t="shared" si="4"/>
        <v>1254.5794837004316</v>
      </c>
    </row>
    <row r="11" spans="1:14" ht="15" thickBot="1" x14ac:dyDescent="0.4">
      <c r="A11" s="1">
        <v>44866</v>
      </c>
      <c r="B11" s="2">
        <v>4752.8999999999996</v>
      </c>
      <c r="C11">
        <f t="shared" si="0"/>
        <v>4752.8999999999996</v>
      </c>
      <c r="D11">
        <f t="shared" si="1"/>
        <v>325.29658518754815</v>
      </c>
      <c r="E11" s="4">
        <f t="shared" si="2"/>
        <v>4010.8047300791836</v>
      </c>
      <c r="F11" s="4">
        <f t="shared" si="3"/>
        <v>742.09526992081601</v>
      </c>
      <c r="G11" s="4">
        <f t="shared" si="4"/>
        <v>550705.38963884872</v>
      </c>
    </row>
    <row r="12" spans="1:14" ht="15" thickBot="1" x14ac:dyDescent="0.4">
      <c r="A12" s="1">
        <v>44896</v>
      </c>
      <c r="B12" s="2">
        <v>4576.7</v>
      </c>
      <c r="C12">
        <f t="shared" si="0"/>
        <v>4576.7</v>
      </c>
      <c r="D12">
        <f t="shared" si="1"/>
        <v>258.53456690049677</v>
      </c>
      <c r="E12" s="4">
        <f t="shared" si="2"/>
        <v>5078.1965851875475</v>
      </c>
      <c r="F12" s="4">
        <f t="shared" si="3"/>
        <v>501.49658518754768</v>
      </c>
      <c r="G12" s="4">
        <f t="shared" si="4"/>
        <v>251498.82495477126</v>
      </c>
    </row>
    <row r="13" spans="1:14" ht="15" thickBot="1" x14ac:dyDescent="0.4">
      <c r="A13" s="1">
        <v>44927</v>
      </c>
      <c r="B13" s="2">
        <v>3541.5</v>
      </c>
      <c r="C13">
        <f t="shared" si="0"/>
        <v>3541.5</v>
      </c>
      <c r="D13">
        <f t="shared" si="1"/>
        <v>86.305416463310365</v>
      </c>
      <c r="E13" s="4">
        <f t="shared" si="2"/>
        <v>4835.2345669004962</v>
      </c>
      <c r="F13" s="4">
        <f t="shared" si="3"/>
        <v>1293.7345669004962</v>
      </c>
      <c r="G13" s="4">
        <f t="shared" si="4"/>
        <v>1673749.1295932145</v>
      </c>
    </row>
    <row r="14" spans="1:14" ht="15" thickBot="1" x14ac:dyDescent="0.4">
      <c r="A14" s="1">
        <v>44958</v>
      </c>
      <c r="B14" s="2">
        <v>3246.8</v>
      </c>
      <c r="C14">
        <f t="shared" si="0"/>
        <v>3246.8</v>
      </c>
      <c r="D14">
        <f t="shared" si="1"/>
        <v>35.583853579933169</v>
      </c>
      <c r="E14" s="4">
        <f t="shared" si="2"/>
        <v>3627.8054164633104</v>
      </c>
      <c r="F14" s="4">
        <f t="shared" si="3"/>
        <v>381.00541646331021</v>
      </c>
      <c r="G14" s="4">
        <f t="shared" si="4"/>
        <v>145165.12737438045</v>
      </c>
    </row>
    <row r="15" spans="1:14" ht="15" thickBot="1" x14ac:dyDescent="0.4">
      <c r="A15" s="1">
        <v>44986</v>
      </c>
      <c r="B15" s="2">
        <v>3620</v>
      </c>
      <c r="C15">
        <f t="shared" si="0"/>
        <v>3620</v>
      </c>
      <c r="D15">
        <f t="shared" si="1"/>
        <v>80.529195197505501</v>
      </c>
      <c r="E15" s="4">
        <f t="shared" si="2"/>
        <v>3282.3838535799332</v>
      </c>
      <c r="F15" s="4">
        <f t="shared" si="3"/>
        <v>337.6161464200668</v>
      </c>
      <c r="G15" s="4">
        <f t="shared" si="4"/>
        <v>113984.66232353599</v>
      </c>
    </row>
    <row r="16" spans="1:14" ht="15" thickBot="1" x14ac:dyDescent="0.4">
      <c r="A16" s="1">
        <v>45017</v>
      </c>
      <c r="B16" s="2">
        <v>3357.8</v>
      </c>
      <c r="C16">
        <f t="shared" si="0"/>
        <v>3357.8</v>
      </c>
      <c r="D16">
        <f t="shared" si="1"/>
        <v>34.903176051781536</v>
      </c>
      <c r="E16" s="4">
        <f t="shared" si="2"/>
        <v>3700.5291951975055</v>
      </c>
      <c r="F16" s="4">
        <f t="shared" si="3"/>
        <v>342.72919519750531</v>
      </c>
      <c r="G16" s="4">
        <f t="shared" si="4"/>
        <v>117463.30124072969</v>
      </c>
    </row>
    <row r="17" spans="1:7" ht="15" thickBot="1" x14ac:dyDescent="0.4">
      <c r="A17" s="1">
        <v>45047</v>
      </c>
      <c r="B17" s="2">
        <v>3779.9</v>
      </c>
      <c r="C17">
        <f t="shared" si="0"/>
        <v>3779.9</v>
      </c>
      <c r="D17">
        <f t="shared" si="1"/>
        <v>86.448973579898023</v>
      </c>
      <c r="E17" s="4">
        <f t="shared" si="2"/>
        <v>3392.7031760517816</v>
      </c>
      <c r="F17" s="4">
        <f t="shared" si="3"/>
        <v>387.19682394821848</v>
      </c>
      <c r="G17" s="4">
        <f t="shared" si="4"/>
        <v>149921.38047558771</v>
      </c>
    </row>
    <row r="18" spans="1:7" ht="15" thickBot="1" x14ac:dyDescent="0.4">
      <c r="A18" s="1">
        <v>45078</v>
      </c>
      <c r="B18" s="2">
        <v>3741.8</v>
      </c>
      <c r="C18">
        <f t="shared" si="0"/>
        <v>3741.8</v>
      </c>
      <c r="D18">
        <f t="shared" si="1"/>
        <v>69.868320595660933</v>
      </c>
      <c r="E18" s="4">
        <f t="shared" si="2"/>
        <v>3866.348973579898</v>
      </c>
      <c r="F18" s="4">
        <f t="shared" si="3"/>
        <v>124.54897357989785</v>
      </c>
      <c r="G18" s="4">
        <f t="shared" si="4"/>
        <v>15512.446819806091</v>
      </c>
    </row>
    <row r="19" spans="1:7" ht="15" thickBot="1" x14ac:dyDescent="0.4">
      <c r="A19" s="1">
        <v>45108</v>
      </c>
      <c r="B19" s="2">
        <v>3597.4</v>
      </c>
      <c r="C19">
        <f t="shared" si="0"/>
        <v>3597.4</v>
      </c>
      <c r="D19">
        <f t="shared" si="1"/>
        <v>41.343728483845098</v>
      </c>
      <c r="E19" s="4">
        <f t="shared" si="2"/>
        <v>3811.668320595661</v>
      </c>
      <c r="F19" s="4">
        <f t="shared" si="3"/>
        <v>214.26832059566095</v>
      </c>
      <c r="G19" s="4">
        <f t="shared" si="4"/>
        <v>45910.913210884944</v>
      </c>
    </row>
    <row r="20" spans="1:7" ht="15" thickBot="1" x14ac:dyDescent="0.4">
      <c r="A20" s="1">
        <v>45139</v>
      </c>
      <c r="B20" s="2">
        <v>3664.8</v>
      </c>
      <c r="C20">
        <f t="shared" si="0"/>
        <v>3664.8</v>
      </c>
      <c r="D20">
        <f t="shared" si="1"/>
        <v>44.812484457135241</v>
      </c>
      <c r="E20" s="4">
        <f t="shared" si="2"/>
        <v>3638.7437284838452</v>
      </c>
      <c r="F20" s="4">
        <f t="shared" si="3"/>
        <v>26.056271516154993</v>
      </c>
      <c r="G20" s="4">
        <f t="shared" si="4"/>
        <v>678.92928532359008</v>
      </c>
    </row>
    <row r="21" spans="1:7" ht="15" thickBot="1" x14ac:dyDescent="0.4">
      <c r="A21" s="1">
        <v>45170</v>
      </c>
      <c r="B21" s="2">
        <v>3664.4</v>
      </c>
      <c r="C21">
        <f t="shared" si="0"/>
        <v>3664.4</v>
      </c>
      <c r="D21">
        <f t="shared" si="1"/>
        <v>38.793546734954226</v>
      </c>
      <c r="E21" s="4">
        <f t="shared" si="2"/>
        <v>3709.6124844571355</v>
      </c>
      <c r="F21" s="4">
        <f t="shared" si="3"/>
        <v>45.212484457135361</v>
      </c>
      <c r="G21" s="4">
        <f t="shared" si="4"/>
        <v>2044.1687507867066</v>
      </c>
    </row>
    <row r="22" spans="1:7" ht="15" thickBot="1" x14ac:dyDescent="0.4">
      <c r="A22" s="1">
        <v>45200</v>
      </c>
      <c r="B22" s="2">
        <v>3881.4</v>
      </c>
      <c r="C22">
        <f t="shared" si="0"/>
        <v>3881.4</v>
      </c>
      <c r="D22">
        <f t="shared" si="1"/>
        <v>62.517382236849407</v>
      </c>
      <c r="E22" s="4">
        <f t="shared" si="2"/>
        <v>3703.1935467349545</v>
      </c>
      <c r="F22" s="4">
        <f t="shared" si="3"/>
        <v>178.20645326504564</v>
      </c>
      <c r="G22" s="4">
        <f t="shared" si="4"/>
        <v>31757.539985306896</v>
      </c>
    </row>
    <row r="23" spans="1:7" ht="15" thickBot="1" x14ac:dyDescent="0.4">
      <c r="A23" s="1">
        <v>45231</v>
      </c>
      <c r="B23" s="2">
        <v>4924</v>
      </c>
      <c r="C23">
        <f t="shared" si="0"/>
        <v>4924</v>
      </c>
      <c r="D23">
        <f t="shared" si="1"/>
        <v>192.99143845690222</v>
      </c>
      <c r="E23" s="4">
        <f t="shared" si="2"/>
        <v>3943.9173822368493</v>
      </c>
      <c r="F23" s="4">
        <f t="shared" si="3"/>
        <v>980.08261776315067</v>
      </c>
      <c r="G23" s="4">
        <f t="shared" si="4"/>
        <v>960561.93764147011</v>
      </c>
    </row>
    <row r="24" spans="1:7" ht="15" thickBot="1" x14ac:dyDescent="0.4">
      <c r="A24" s="1">
        <v>45261</v>
      </c>
      <c r="B24" s="2">
        <v>4679.3999999999996</v>
      </c>
      <c r="C24">
        <f t="shared" si="0"/>
        <v>4679.3999999999996</v>
      </c>
      <c r="D24">
        <f t="shared" si="1"/>
        <v>134.73682919452546</v>
      </c>
      <c r="E24" s="4">
        <f t="shared" si="2"/>
        <v>5116.991438456902</v>
      </c>
      <c r="F24" s="4">
        <f t="shared" si="3"/>
        <v>437.59143845690232</v>
      </c>
      <c r="G24" s="4">
        <f t="shared" si="4"/>
        <v>191486.26701078092</v>
      </c>
    </row>
    <row r="25" spans="1:7" ht="15" thickBot="1" x14ac:dyDescent="0.4">
      <c r="A25" s="1">
        <v>45292</v>
      </c>
      <c r="B25" s="2">
        <v>3674</v>
      </c>
      <c r="C25">
        <f t="shared" si="0"/>
        <v>3674</v>
      </c>
      <c r="D25">
        <f t="shared" si="1"/>
        <v>-17.044535003516643</v>
      </c>
      <c r="E25" s="4">
        <f t="shared" si="2"/>
        <v>4814.1368291945255</v>
      </c>
      <c r="F25" s="4">
        <f t="shared" si="3"/>
        <v>1140.1368291945255</v>
      </c>
      <c r="G25" s="4">
        <f t="shared" si="4"/>
        <v>1299911.9892857466</v>
      </c>
    </row>
    <row r="26" spans="1:7" ht="15" thickBot="1" x14ac:dyDescent="0.4">
      <c r="A26" s="1">
        <v>45323</v>
      </c>
      <c r="B26" s="2">
        <v>3515</v>
      </c>
      <c r="C26">
        <f t="shared" si="0"/>
        <v>3515</v>
      </c>
      <c r="D26">
        <f t="shared" si="1"/>
        <v>-35.942437063004931</v>
      </c>
      <c r="E26" s="4">
        <f t="shared" si="2"/>
        <v>3656.9554649964834</v>
      </c>
      <c r="F26" s="4">
        <f t="shared" si="3"/>
        <v>141.95546499648344</v>
      </c>
      <c r="G26" s="4">
        <f t="shared" si="4"/>
        <v>20151.354042367835</v>
      </c>
    </row>
    <row r="27" spans="1:7" ht="15" thickBot="1" x14ac:dyDescent="0.4">
      <c r="A27" s="1">
        <v>45352</v>
      </c>
      <c r="B27" s="2">
        <v>3701</v>
      </c>
      <c r="C27">
        <f t="shared" si="0"/>
        <v>3701</v>
      </c>
      <c r="D27">
        <f t="shared" si="1"/>
        <v>-6.3962238294058338</v>
      </c>
      <c r="E27" s="4">
        <f t="shared" si="2"/>
        <v>3479.0575629369951</v>
      </c>
      <c r="F27" s="4">
        <f t="shared" si="3"/>
        <v>221.94243706300495</v>
      </c>
      <c r="G27" s="4">
        <f t="shared" si="4"/>
        <v>49258.44536946591</v>
      </c>
    </row>
    <row r="28" spans="1:7" ht="15" thickBot="1" x14ac:dyDescent="0.4">
      <c r="A28" s="1">
        <v>45383</v>
      </c>
      <c r="B28" s="2">
        <v>3745.3</v>
      </c>
      <c r="C28">
        <f t="shared" si="0"/>
        <v>3745.3</v>
      </c>
      <c r="D28">
        <f t="shared" si="1"/>
        <v>0.35273981731072368</v>
      </c>
      <c r="E28" s="4">
        <f t="shared" si="2"/>
        <v>3694.6037761705943</v>
      </c>
      <c r="F28" s="4">
        <f t="shared" si="3"/>
        <v>50.696223829405881</v>
      </c>
      <c r="G28" s="4">
        <f t="shared" si="4"/>
        <v>2570.1071105612205</v>
      </c>
    </row>
    <row r="29" spans="1:7" ht="15" thickBot="1" x14ac:dyDescent="0.4">
      <c r="A29" s="1">
        <v>45413</v>
      </c>
      <c r="B29" s="2">
        <v>4046.5</v>
      </c>
      <c r="C29">
        <f t="shared" si="0"/>
        <v>4046.5</v>
      </c>
      <c r="D29">
        <f t="shared" si="1"/>
        <v>40.403202530660231</v>
      </c>
      <c r="E29" s="4">
        <f t="shared" si="2"/>
        <v>3745.6527398173107</v>
      </c>
      <c r="F29" s="4">
        <f t="shared" si="3"/>
        <v>300.8472601826893</v>
      </c>
      <c r="G29" s="4">
        <f t="shared" si="4"/>
        <v>90509.073959430752</v>
      </c>
    </row>
    <row r="30" spans="1:7" ht="15" thickBot="1" x14ac:dyDescent="0.4">
      <c r="A30" s="1">
        <v>45444</v>
      </c>
      <c r="B30" s="2">
        <v>4046.9</v>
      </c>
      <c r="C30">
        <f t="shared" si="0"/>
        <v>4046.9</v>
      </c>
      <c r="D30">
        <f t="shared" si="1"/>
        <v>35.077753429359227</v>
      </c>
      <c r="E30" s="4">
        <f t="shared" si="2"/>
        <v>4086.9032025306601</v>
      </c>
      <c r="F30" s="4">
        <f t="shared" si="3"/>
        <v>40.003202530660019</v>
      </c>
      <c r="G30" s="4">
        <f t="shared" si="4"/>
        <v>1600.2562127090041</v>
      </c>
    </row>
    <row r="31" spans="1:7" ht="15" thickBot="1" x14ac:dyDescent="0.4">
      <c r="A31" s="1">
        <v>45474</v>
      </c>
      <c r="B31" s="2">
        <v>4113</v>
      </c>
      <c r="C31">
        <f t="shared" si="0"/>
        <v>4113</v>
      </c>
      <c r="D31">
        <f t="shared" si="1"/>
        <v>39.207607657738436</v>
      </c>
      <c r="E31" s="4">
        <f t="shared" si="2"/>
        <v>4081.9777534293594</v>
      </c>
      <c r="F31" s="4">
        <f t="shared" si="3"/>
        <v>31.022246570640618</v>
      </c>
      <c r="G31" s="4">
        <f t="shared" si="4"/>
        <v>962.37978228962356</v>
      </c>
    </row>
    <row r="32" spans="1:7" ht="15" thickBot="1" x14ac:dyDescent="0.4">
      <c r="A32" s="1">
        <v>45505</v>
      </c>
      <c r="B32" s="2">
        <v>4102.8999999999996</v>
      </c>
      <c r="C32">
        <f t="shared" si="0"/>
        <v>4102.8999999999996</v>
      </c>
      <c r="D32">
        <f t="shared" si="1"/>
        <v>32.643504329087399</v>
      </c>
      <c r="E32" s="4">
        <f t="shared" si="2"/>
        <v>4152.2076076577387</v>
      </c>
      <c r="F32" s="4">
        <f t="shared" si="3"/>
        <v>49.307607657739027</v>
      </c>
      <c r="G32" s="4">
        <f t="shared" si="4"/>
        <v>2431.2401729295243</v>
      </c>
    </row>
    <row r="33" spans="1:7" ht="15" thickBot="1" x14ac:dyDescent="0.4">
      <c r="A33" s="1">
        <v>45536</v>
      </c>
      <c r="B33" s="2">
        <v>4031.6</v>
      </c>
      <c r="C33">
        <f t="shared" si="0"/>
        <v>4031.6</v>
      </c>
      <c r="D33">
        <f t="shared" si="1"/>
        <v>18.80596616470784</v>
      </c>
      <c r="E33" s="4">
        <f t="shared" si="2"/>
        <v>4135.5435043290872</v>
      </c>
      <c r="F33" s="4">
        <f t="shared" si="3"/>
        <v>103.94350432908732</v>
      </c>
      <c r="G33" s="4">
        <f t="shared" si="4"/>
        <v>10804.252092210994</v>
      </c>
    </row>
    <row r="34" spans="1:7" ht="15" thickBot="1" x14ac:dyDescent="0.4">
      <c r="A34" s="1">
        <v>45566</v>
      </c>
      <c r="B34" s="2">
        <v>4333.8999999999996</v>
      </c>
      <c r="C34">
        <f t="shared" si="0"/>
        <v>4333.8999999999996</v>
      </c>
      <c r="D34">
        <f t="shared" si="1"/>
        <v>56.546270745453093</v>
      </c>
      <c r="E34" s="4">
        <f t="shared" si="2"/>
        <v>4050.4059661647079</v>
      </c>
      <c r="F34" s="4">
        <f t="shared" si="3"/>
        <v>283.4940338352917</v>
      </c>
      <c r="G34" s="4">
        <f t="shared" si="4"/>
        <v>80368.867220205517</v>
      </c>
    </row>
    <row r="35" spans="1:7" ht="15" thickBot="1" x14ac:dyDescent="0.4">
      <c r="A35" s="1">
        <v>45597</v>
      </c>
      <c r="B35" s="2">
        <v>5278.4</v>
      </c>
      <c r="C35">
        <f t="shared" si="0"/>
        <v>5278.4</v>
      </c>
      <c r="D35">
        <f t="shared" si="1"/>
        <v>174.75561625550799</v>
      </c>
      <c r="E35" s="4">
        <f t="shared" si="2"/>
        <v>4390.4462707454531</v>
      </c>
      <c r="F35" s="4">
        <f t="shared" si="3"/>
        <v>887.95372925454649</v>
      </c>
      <c r="G35" s="4">
        <f t="shared" si="4"/>
        <v>788461.82529705646</v>
      </c>
    </row>
    <row r="36" spans="1:7" ht="15" thickBot="1" x14ac:dyDescent="0.4">
      <c r="A36" s="1">
        <v>45627</v>
      </c>
      <c r="B36" s="2">
        <v>5349.4</v>
      </c>
      <c r="C36">
        <f t="shared" si="0"/>
        <v>5349.4</v>
      </c>
      <c r="D36">
        <f t="shared" si="1"/>
        <v>160.94309079784412</v>
      </c>
      <c r="E36" s="4">
        <f t="shared" si="2"/>
        <v>5453.155616255508</v>
      </c>
      <c r="F36" s="4">
        <f t="shared" si="3"/>
        <v>103.75561625550836</v>
      </c>
      <c r="G36" s="4">
        <f t="shared" si="4"/>
        <v>10765.22790456031</v>
      </c>
    </row>
    <row r="37" spans="1:7" ht="15" thickBot="1" x14ac:dyDescent="0.4">
      <c r="A37" s="1">
        <v>45658</v>
      </c>
      <c r="B37" s="2">
        <v>4134</v>
      </c>
      <c r="C37">
        <f t="shared" si="0"/>
        <v>4134</v>
      </c>
      <c r="D37">
        <f t="shared" si="1"/>
        <v>-22.283366392764123</v>
      </c>
      <c r="E37" s="4">
        <f t="shared" si="2"/>
        <v>5510.3430907978436</v>
      </c>
      <c r="F37" s="4">
        <f t="shared" si="3"/>
        <v>1376.3430907978436</v>
      </c>
      <c r="G37" s="4">
        <f t="shared" si="4"/>
        <v>1894320.3035869612</v>
      </c>
    </row>
    <row r="38" spans="1:7" ht="15" thickBot="1" x14ac:dyDescent="0.4">
      <c r="A38" s="1">
        <v>45689</v>
      </c>
      <c r="B38" s="2"/>
      <c r="F38" s="4"/>
      <c r="G38" s="4"/>
    </row>
    <row r="39" spans="1:7" ht="15" thickBot="1" x14ac:dyDescent="0.4">
      <c r="A39" s="1">
        <v>45717</v>
      </c>
      <c r="F39" s="4"/>
      <c r="G39" s="4"/>
    </row>
    <row r="40" spans="1:7" ht="15" thickBot="1" x14ac:dyDescent="0.4">
      <c r="A40" s="1">
        <v>45748</v>
      </c>
      <c r="F40" s="4"/>
      <c r="G40" s="4"/>
    </row>
    <row r="41" spans="1:7" ht="15" thickBot="1" x14ac:dyDescent="0.4">
      <c r="A41" s="1">
        <v>45778</v>
      </c>
      <c r="F41" s="4"/>
      <c r="G41" s="4"/>
    </row>
    <row r="42" spans="1:7" ht="15" thickBot="1" x14ac:dyDescent="0.4">
      <c r="A42" s="1">
        <v>45809</v>
      </c>
      <c r="F42" s="4" t="s">
        <v>10</v>
      </c>
      <c r="G42" s="4" t="s">
        <v>11</v>
      </c>
    </row>
    <row r="43" spans="1:7" ht="15" thickBot="1" x14ac:dyDescent="0.4">
      <c r="A43" s="1">
        <v>45839</v>
      </c>
      <c r="F43" s="4">
        <f>AVERAGE(F3:F37)</f>
        <v>372.05108579548005</v>
      </c>
      <c r="G43" s="4">
        <f>AVERAGE(G3:G37)</f>
        <v>276173.58784017793</v>
      </c>
    </row>
    <row r="44" spans="1:7" ht="15" thickBot="1" x14ac:dyDescent="0.4">
      <c r="A44" s="1">
        <v>45870</v>
      </c>
      <c r="F44" s="4"/>
      <c r="G44" s="4"/>
    </row>
    <row r="45" spans="1:7" ht="15" thickBot="1" x14ac:dyDescent="0.4">
      <c r="A45" s="1">
        <v>45901</v>
      </c>
      <c r="F45" s="4"/>
      <c r="G45" s="4"/>
    </row>
    <row r="46" spans="1:7" ht="15" thickBot="1" x14ac:dyDescent="0.4">
      <c r="A46" s="1">
        <v>45931</v>
      </c>
      <c r="F46" s="4"/>
      <c r="G46" s="4"/>
    </row>
    <row r="47" spans="1:7" ht="15" thickBot="1" x14ac:dyDescent="0.4">
      <c r="A47" s="1">
        <v>45962</v>
      </c>
      <c r="F47" s="4"/>
      <c r="G47" s="4"/>
    </row>
    <row r="48" spans="1:7" ht="15" thickBot="1" x14ac:dyDescent="0.4">
      <c r="A48" s="1">
        <v>45992</v>
      </c>
      <c r="F48" s="4"/>
      <c r="G48" s="4"/>
    </row>
    <row r="49" spans="1:7" ht="15" thickBot="1" x14ac:dyDescent="0.4">
      <c r="A49" s="1">
        <v>46023</v>
      </c>
      <c r="F49" s="4"/>
      <c r="G49" s="4"/>
    </row>
    <row r="50" spans="1:7" ht="15" thickBot="1" x14ac:dyDescent="0.4">
      <c r="A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HES</vt:lpstr>
      <vt:lpstr>WES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Phương</dc:creator>
  <cp:lastModifiedBy>Phan Phương</cp:lastModifiedBy>
  <dcterms:created xsi:type="dcterms:W3CDTF">2025-04-17T23:30:56Z</dcterms:created>
  <dcterms:modified xsi:type="dcterms:W3CDTF">2025-04-27T13:25:26Z</dcterms:modified>
</cp:coreProperties>
</file>